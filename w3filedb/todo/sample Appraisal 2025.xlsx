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charts/chart2.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29040" windowHeight="15720" activeTab="2"/>
  </bookViews>
  <sheets>
    <sheet name="Ankit review" sheetId="4" r:id="rId1"/>
    <sheet name="HR review" sheetId="1" r:id="rId2"/>
    <sheet name="PIE-CHART" sheetId="2" r:id="rId3"/>
  </sheets>
  <definedNames>
    <definedName name="_xlnm._FilterDatabase" localSheetId="2" hidden="1">'PIE-CHART'!$A$3:$D$3</definedName>
    <definedName name="_xlnm.Print_Area" localSheetId="0">'Ankit review'!$A$1:$H$34</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2"/>
  <c r="J24" i="1" l="1"/>
  <c r="C24"/>
  <c r="B4" i="2"/>
  <c r="B9"/>
  <c r="B8"/>
  <c r="K6"/>
  <c r="K5"/>
  <c r="K4"/>
  <c r="G31" i="4" l="1"/>
  <c r="F31"/>
  <c r="E31"/>
  <c r="D31"/>
  <c r="K7" i="2"/>
  <c r="B12"/>
  <c r="C12" s="1"/>
  <c r="D9"/>
  <c r="D10"/>
  <c r="D8"/>
  <c r="D6"/>
  <c r="D5"/>
  <c r="D7"/>
  <c r="D11"/>
  <c r="D4"/>
  <c r="M4"/>
  <c r="M6"/>
  <c r="M5"/>
  <c r="C9" l="1"/>
  <c r="C11"/>
  <c r="C8"/>
  <c r="C5"/>
  <c r="C10"/>
  <c r="C4"/>
  <c r="C7"/>
  <c r="C6"/>
  <c r="L4"/>
  <c r="L5"/>
  <c r="L6"/>
  <c r="M7"/>
  <c r="I24" i="1" l="1"/>
  <c r="N24" s="1"/>
  <c r="H24"/>
  <c r="M24" s="1"/>
  <c r="G24"/>
  <c r="F24"/>
  <c r="D24"/>
  <c r="E24" l="1"/>
  <c r="L24" s="1"/>
  <c r="O24" s="1"/>
  <c r="L7" i="2"/>
</calcChain>
</file>

<file path=xl/sharedStrings.xml><?xml version="1.0" encoding="utf-8"?>
<sst xmlns="http://schemas.openxmlformats.org/spreadsheetml/2006/main" count="116" uniqueCount="102">
  <si>
    <t>For Late marks</t>
  </si>
  <si>
    <t>1 mark deducted for 6 late marks</t>
  </si>
  <si>
    <t>For Unsanctioned leaves</t>
  </si>
  <si>
    <t>1 mark deducted for 1 unsanctioned leave</t>
  </si>
  <si>
    <t>For unpaid leaves</t>
  </si>
  <si>
    <t>1 mark deducted for 3 unpaid leaves</t>
  </si>
  <si>
    <t>DOJ</t>
  </si>
  <si>
    <t>Month</t>
  </si>
  <si>
    <t>late marks</t>
  </si>
  <si>
    <t>late marks beyond 10.15</t>
  </si>
  <si>
    <t>sanctioned leaves</t>
  </si>
  <si>
    <t>Informed Leaves</t>
  </si>
  <si>
    <t>unsantioned leaves</t>
  </si>
  <si>
    <t>unpaid leave</t>
  </si>
  <si>
    <t>Out 0f 10 marks</t>
  </si>
  <si>
    <t>Total Marks (Out of 30)</t>
  </si>
  <si>
    <t>A</t>
  </si>
  <si>
    <t>B</t>
  </si>
  <si>
    <t>C</t>
  </si>
  <si>
    <t>HR Appraisal</t>
  </si>
  <si>
    <t>Projects</t>
  </si>
  <si>
    <t>CD</t>
  </si>
  <si>
    <t>SD</t>
  </si>
  <si>
    <t>DD</t>
  </si>
  <si>
    <t>CC</t>
  </si>
  <si>
    <t>AWD</t>
  </si>
  <si>
    <t>WD</t>
  </si>
  <si>
    <t>SS</t>
  </si>
  <si>
    <t>Total Hrs</t>
  </si>
  <si>
    <t>%</t>
  </si>
  <si>
    <t>Months</t>
  </si>
  <si>
    <t>Total</t>
  </si>
  <si>
    <t>TOTAL</t>
  </si>
  <si>
    <t>STAGE</t>
  </si>
  <si>
    <t>NO</t>
  </si>
  <si>
    <t>CRITERIA FOR APPRAISAL</t>
  </si>
  <si>
    <t>MARKS OUT OF</t>
  </si>
  <si>
    <t>CHIEF ARCHITECT</t>
  </si>
  <si>
    <t>ASSOCIATE ARCHITECT</t>
  </si>
  <si>
    <t>TEAM LEADER</t>
  </si>
  <si>
    <t>SELF</t>
  </si>
  <si>
    <t>REMARKS</t>
  </si>
  <si>
    <t>CREATIVE APPTITUDE &amp; JOB KNOWLEDGE</t>
  </si>
  <si>
    <t>A1</t>
  </si>
  <si>
    <t>Planning - master-layout ,type plans,calculations,statements</t>
  </si>
  <si>
    <t>A2</t>
  </si>
  <si>
    <t>Presentation Skills</t>
  </si>
  <si>
    <t>A3</t>
  </si>
  <si>
    <t xml:space="preserve">Form ,Space &amp; Elevational development </t>
  </si>
  <si>
    <t>A4</t>
  </si>
  <si>
    <t>Color,texture,material application and details</t>
  </si>
  <si>
    <t>Thorough checking of drawings before the same is forwarded to client/site/consultants.</t>
  </si>
  <si>
    <t>A6</t>
  </si>
  <si>
    <t>Giving timely and correct feedback on work done by team members so as to consistently maintain the quality of work as per the standards set by Abhikalpan.If required take necessary feedback from Associate architect/team leader.</t>
  </si>
  <si>
    <t>A7</t>
  </si>
  <si>
    <t xml:space="preserve">Preparation of Working drawing &amp; Tender dwgs-estimation ,awareness of Municipal bye laws, Project information </t>
  </si>
  <si>
    <t>A8</t>
  </si>
  <si>
    <t xml:space="preserve">Software Skills Vectorworks/ Google Sketchup /Sketching skills /Others - utilized for design development &amp; presentation/working dwgs etc </t>
  </si>
  <si>
    <t>A9</t>
  </si>
  <si>
    <t>Adaptability  (the ability to being open to different and new ways of doing things; willingness to modify one’s preferred ways of thinking and doing actions / reaction)</t>
  </si>
  <si>
    <t>A10</t>
  </si>
  <si>
    <t>Information / Resource development  + Material Knowledge - collection and application of information from Library/Internet /etc .Ability of coordinating with  vendors &amp; updating  new material /industry knowledge.</t>
  </si>
  <si>
    <t>ORGANISATION</t>
  </si>
  <si>
    <t>B1</t>
  </si>
  <si>
    <t>Diligent Organisation of project data on server to facilitate ease of access and file search when required.</t>
  </si>
  <si>
    <t>B2</t>
  </si>
  <si>
    <t>Organisation  of physical files and updating mapping records with the help of team members/ office assistant.</t>
  </si>
  <si>
    <t>B3</t>
  </si>
  <si>
    <t>Implementation  of correct nomenclature and title block for all files.</t>
  </si>
  <si>
    <t>B4</t>
  </si>
  <si>
    <t>Implementation of correct drawing methodology as defined by the organisation for classes,layers,patterns ,etc.</t>
  </si>
  <si>
    <t>B5</t>
  </si>
  <si>
    <t>Organizing skills – Work related &amp;  Project related  –soft copies/hard copies, checking up softboard with updated project info.</t>
  </si>
  <si>
    <t>SELF MOTIVATION</t>
  </si>
  <si>
    <t>C1</t>
  </si>
  <si>
    <t>To motivate, generate and invent new design details which is logically apt for the clients requirement and budget. To motivate your subordinate team to invent new and efficient way of using vectorworks,sketchup and the like.</t>
  </si>
  <si>
    <t>C2</t>
  </si>
  <si>
    <t>To keep oneself updated with the latest development in the industry w.r.t to software ,design, materials, rates, etc</t>
  </si>
  <si>
    <t>C3</t>
  </si>
  <si>
    <t>Take Responsibility of the Design &amp; Project Development</t>
  </si>
  <si>
    <t>C4</t>
  </si>
  <si>
    <t xml:space="preserve">Taking Initiative to take responsibility /  Dedication towards work &amp; self motivation to complete one’s work &amp; Assist team in completion of the targets </t>
  </si>
  <si>
    <t>D</t>
  </si>
  <si>
    <t>TIMELY COMMUNICATION &amp; CO-ORDINATION</t>
  </si>
  <si>
    <t>D1</t>
  </si>
  <si>
    <t>Communication skills &amp; Co-ordination with Team Member/ Leader/ Communication &amp; Co-ordination with Consultants/Site team/Site visits conducted/Meetings conducted.</t>
  </si>
  <si>
    <t>D2</t>
  </si>
  <si>
    <t xml:space="preserve">Time Management on your own–Work scheduling ,Reporting to team leader/associate architect &amp; achieving project deadlines. Setting targets for self/team. </t>
  </si>
  <si>
    <t>E</t>
  </si>
  <si>
    <t>OTHERS</t>
  </si>
  <si>
    <t>E1</t>
  </si>
  <si>
    <t xml:space="preserve">Adhering to HR policies (punctuality, behavior ,discipline &amp; effective Holiday management without affecting project schedule ) </t>
  </si>
  <si>
    <t>2005 SD BANNER</t>
  </si>
  <si>
    <t>2102 PARK TITAN</t>
  </si>
  <si>
    <t>2358 PENNINCULA CLUB+COMMERCIAL</t>
  </si>
  <si>
    <t>14.01.24</t>
  </si>
  <si>
    <t xml:space="preserve"> </t>
  </si>
  <si>
    <t>negative hrs</t>
  </si>
  <si>
    <t>27.50/ 30</t>
  </si>
  <si>
    <t>Work Synopsis-Jan 24 to Dec'24</t>
  </si>
  <si>
    <t xml:space="preserve"> Work Synopsis- Jan 24 to Dec'24</t>
  </si>
  <si>
    <t>ABHIKALPAN ARCHITECTS &amp; PLANNERS  -  APPRAISAL FORM - JUNE'23-MAY'24)</t>
  </si>
</sst>
</file>

<file path=xl/styles.xml><?xml version="1.0" encoding="utf-8"?>
<styleSheet xmlns="http://schemas.openxmlformats.org/spreadsheetml/2006/main">
  <numFmts count="2">
    <numFmt numFmtId="164" formatCode="[$-409]d\-mmm\-yy;@"/>
    <numFmt numFmtId="165" formatCode="0.0%"/>
  </numFmts>
  <fonts count="27">
    <font>
      <sz val="11"/>
      <color theme="1"/>
      <name val="Calibri"/>
      <family val="2"/>
      <scheme val="minor"/>
    </font>
    <font>
      <sz val="11"/>
      <color theme="1"/>
      <name val="Calibri"/>
      <family val="2"/>
      <scheme val="minor"/>
    </font>
    <font>
      <b/>
      <sz val="11"/>
      <color theme="1"/>
      <name val="Calibri"/>
      <family val="2"/>
      <scheme val="minor"/>
    </font>
    <font>
      <sz val="12"/>
      <color theme="1"/>
      <name val="Cambria"/>
      <family val="1"/>
      <scheme val="major"/>
    </font>
    <font>
      <sz val="10"/>
      <name val="Arial"/>
      <family val="2"/>
    </font>
    <font>
      <sz val="12"/>
      <name val="Cambria"/>
      <family val="1"/>
      <scheme val="major"/>
    </font>
    <font>
      <b/>
      <sz val="12"/>
      <color theme="1"/>
      <name val="Cambria"/>
      <family val="1"/>
      <scheme val="major"/>
    </font>
    <font>
      <b/>
      <sz val="12"/>
      <name val="Cambria"/>
      <family val="1"/>
      <scheme val="major"/>
    </font>
    <font>
      <b/>
      <sz val="11"/>
      <name val="Cambria"/>
      <family val="1"/>
      <scheme val="major"/>
    </font>
    <font>
      <b/>
      <sz val="12"/>
      <color indexed="10"/>
      <name val="Cambria"/>
      <family val="1"/>
      <scheme val="major"/>
    </font>
    <font>
      <sz val="12"/>
      <color indexed="10"/>
      <name val="Cambria"/>
      <family val="1"/>
      <scheme val="major"/>
    </font>
    <font>
      <b/>
      <sz val="14"/>
      <color rgb="FFFF0000"/>
      <name val="Cambria"/>
      <family val="1"/>
      <scheme val="major"/>
    </font>
    <font>
      <b/>
      <sz val="14"/>
      <color rgb="FFFF0000"/>
      <name val="Calibri"/>
      <family val="2"/>
      <scheme val="minor"/>
    </font>
    <font>
      <b/>
      <sz val="14"/>
      <color theme="1"/>
      <name val="Calibri"/>
      <family val="2"/>
      <scheme val="minor"/>
    </font>
    <font>
      <b/>
      <sz val="11"/>
      <color theme="1"/>
      <name val="Calibri"/>
      <family val="2"/>
    </font>
    <font>
      <sz val="10"/>
      <name val="Calibri"/>
      <family val="2"/>
    </font>
    <font>
      <sz val="11"/>
      <color theme="1"/>
      <name val="Calibri"/>
      <family val="2"/>
    </font>
    <font>
      <b/>
      <sz val="22"/>
      <color theme="1"/>
      <name val="Calibri"/>
      <family val="2"/>
      <scheme val="minor"/>
    </font>
    <font>
      <b/>
      <sz val="15"/>
      <name val="Century Gothic"/>
      <family val="2"/>
    </font>
    <font>
      <sz val="10"/>
      <name val="Century Gothic"/>
      <family val="2"/>
    </font>
    <font>
      <b/>
      <sz val="18"/>
      <name val="Century Gothic"/>
      <family val="2"/>
    </font>
    <font>
      <sz val="18"/>
      <color theme="1"/>
      <name val="Calibri"/>
      <family val="2"/>
      <scheme val="minor"/>
    </font>
    <font>
      <sz val="15"/>
      <name val="Century Gothic"/>
      <family val="2"/>
    </font>
    <font>
      <sz val="18"/>
      <name val="Century Gothic"/>
      <family val="2"/>
    </font>
    <font>
      <sz val="18"/>
      <color theme="1"/>
      <name val="Century Gothic"/>
      <family val="2"/>
    </font>
    <font>
      <sz val="15"/>
      <color theme="1"/>
      <name val="Century Gothic"/>
      <family val="2"/>
    </font>
    <font>
      <sz val="15"/>
      <color theme="1"/>
      <name val="Calibri"/>
      <family val="2"/>
      <scheme val="minor"/>
    </font>
  </fonts>
  <fills count="4">
    <fill>
      <patternFill patternType="none"/>
    </fill>
    <fill>
      <patternFill patternType="gray125"/>
    </fill>
    <fill>
      <patternFill patternType="solid">
        <fgColor indexed="51"/>
        <bgColor indexed="64"/>
      </patternFill>
    </fill>
    <fill>
      <patternFill patternType="solid">
        <fgColor rgb="FFFFC000"/>
        <bgColor indexed="64"/>
      </patternFill>
    </fill>
  </fills>
  <borders count="38">
    <border>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style="thin">
        <color auto="1"/>
      </top>
      <bottom style="medium">
        <color auto="1"/>
      </bottom>
      <diagonal/>
    </border>
    <border>
      <left style="medium">
        <color indexed="64"/>
      </left>
      <right style="thin">
        <color indexed="64"/>
      </right>
      <top style="thin">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style="medium">
        <color indexed="64"/>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9" fontId="1" fillId="0" borderId="0" applyFont="0" applyFill="0" applyBorder="0" applyAlignment="0" applyProtection="0"/>
    <xf numFmtId="0" fontId="4" fillId="0" borderId="0"/>
    <xf numFmtId="0" fontId="1" fillId="0" borderId="0"/>
    <xf numFmtId="0" fontId="4" fillId="0" borderId="0"/>
    <xf numFmtId="0" fontId="4" fillId="0" borderId="0"/>
    <xf numFmtId="0" fontId="4" fillId="0" borderId="0"/>
    <xf numFmtId="0" fontId="4" fillId="0" borderId="0"/>
  </cellStyleXfs>
  <cellXfs count="107">
    <xf numFmtId="0" fontId="0" fillId="0" borderId="0" xfId="0"/>
    <xf numFmtId="0" fontId="3" fillId="0" borderId="0" xfId="0" applyFont="1"/>
    <xf numFmtId="0" fontId="5" fillId="0" borderId="0" xfId="2" applyFont="1" applyAlignment="1">
      <alignment horizontal="left"/>
    </xf>
    <xf numFmtId="0" fontId="5" fillId="0" borderId="0" xfId="2" applyFont="1" applyAlignment="1">
      <alignment horizontal="center" vertical="center"/>
    </xf>
    <xf numFmtId="0" fontId="0" fillId="0" borderId="0" xfId="0" applyAlignment="1">
      <alignment vertical="center"/>
    </xf>
    <xf numFmtId="0" fontId="3" fillId="0" borderId="0" xfId="0" applyFont="1" applyAlignment="1">
      <alignment vertical="center"/>
    </xf>
    <xf numFmtId="164" fontId="5" fillId="0" borderId="0" xfId="2" applyNumberFormat="1" applyFont="1" applyAlignment="1">
      <alignment horizontal="center" vertical="center" wrapText="1"/>
    </xf>
    <xf numFmtId="0" fontId="7" fillId="0" borderId="2" xfId="2" applyFont="1" applyBorder="1" applyAlignment="1">
      <alignment horizontal="center" vertical="center" wrapText="1"/>
    </xf>
    <xf numFmtId="0" fontId="7" fillId="0" borderId="6" xfId="2" applyFont="1" applyBorder="1" applyAlignment="1">
      <alignment horizontal="center" vertical="center" wrapText="1"/>
    </xf>
    <xf numFmtId="0" fontId="7" fillId="0" borderId="7" xfId="2" applyFont="1" applyBorder="1" applyAlignment="1">
      <alignment horizontal="center" vertical="center" wrapText="1"/>
    </xf>
    <xf numFmtId="0" fontId="9" fillId="0" borderId="8" xfId="2" applyFont="1" applyBorder="1" applyAlignment="1">
      <alignment horizontal="center" vertical="center" wrapText="1"/>
    </xf>
    <xf numFmtId="0" fontId="7" fillId="0" borderId="9" xfId="2" applyFont="1" applyBorder="1" applyAlignment="1">
      <alignment horizontal="center" vertical="center" wrapText="1"/>
    </xf>
    <xf numFmtId="0" fontId="7" fillId="0" borderId="10" xfId="2" applyFont="1" applyBorder="1" applyAlignment="1">
      <alignment horizontal="center" vertical="center" wrapText="1"/>
    </xf>
    <xf numFmtId="0" fontId="7" fillId="0" borderId="11" xfId="2" applyFont="1" applyBorder="1" applyAlignment="1">
      <alignment horizontal="center" vertical="center" wrapText="1"/>
    </xf>
    <xf numFmtId="0" fontId="7" fillId="0" borderId="12" xfId="2" applyFont="1" applyBorder="1" applyAlignment="1">
      <alignment horizontal="center" vertical="center" wrapText="1"/>
    </xf>
    <xf numFmtId="0" fontId="7" fillId="0" borderId="13" xfId="2" applyFont="1" applyBorder="1" applyAlignment="1">
      <alignment horizontal="center" vertical="center" wrapText="1"/>
    </xf>
    <xf numFmtId="0" fontId="10" fillId="0" borderId="14" xfId="2" applyFont="1" applyBorder="1" applyAlignment="1">
      <alignment horizontal="center" vertical="center" wrapText="1"/>
    </xf>
    <xf numFmtId="0" fontId="5" fillId="0" borderId="6" xfId="2" applyFont="1" applyBorder="1" applyAlignment="1">
      <alignment horizontal="center" vertical="center" wrapText="1"/>
    </xf>
    <xf numFmtId="0" fontId="5" fillId="0" borderId="16" xfId="2" applyFont="1" applyBorder="1" applyAlignment="1">
      <alignment horizontal="center" vertical="center" wrapText="1"/>
    </xf>
    <xf numFmtId="0" fontId="5" fillId="0" borderId="6" xfId="0" applyFont="1" applyBorder="1" applyAlignment="1">
      <alignment horizontal="center"/>
    </xf>
    <xf numFmtId="0" fontId="3" fillId="0" borderId="17" xfId="0" applyFont="1" applyBorder="1" applyAlignment="1">
      <alignment horizontal="center"/>
    </xf>
    <xf numFmtId="0" fontId="7" fillId="0" borderId="0" xfId="2" applyFont="1" applyAlignment="1">
      <alignment horizontal="center" vertical="center" wrapText="1"/>
    </xf>
    <xf numFmtId="0" fontId="10" fillId="0" borderId="0" xfId="2" applyFont="1" applyAlignment="1">
      <alignment horizontal="center" vertical="center" wrapText="1"/>
    </xf>
    <xf numFmtId="0" fontId="3" fillId="0" borderId="6" xfId="0" applyFont="1" applyBorder="1" applyAlignment="1">
      <alignment horizontal="center"/>
    </xf>
    <xf numFmtId="0" fontId="3" fillId="0" borderId="8" xfId="0" applyFont="1" applyBorder="1" applyAlignment="1">
      <alignment horizontal="center"/>
    </xf>
    <xf numFmtId="0" fontId="10" fillId="0" borderId="0" xfId="2" applyFont="1" applyAlignment="1">
      <alignment horizontal="center" vertical="center"/>
    </xf>
    <xf numFmtId="1" fontId="5" fillId="0" borderId="0" xfId="2" applyNumberFormat="1" applyFont="1" applyAlignment="1">
      <alignment horizontal="center" vertical="center"/>
    </xf>
    <xf numFmtId="0" fontId="5" fillId="0" borderId="6" xfId="2" applyFont="1" applyBorder="1" applyAlignment="1">
      <alignment horizontal="center"/>
    </xf>
    <xf numFmtId="0" fontId="3" fillId="0" borderId="6" xfId="2" applyFont="1" applyBorder="1" applyAlignment="1">
      <alignment horizontal="center"/>
    </xf>
    <xf numFmtId="0" fontId="5" fillId="0" borderId="18" xfId="2" applyFont="1" applyBorder="1" applyAlignment="1">
      <alignment horizontal="center"/>
    </xf>
    <xf numFmtId="0" fontId="5" fillId="0" borderId="19" xfId="2" applyFont="1" applyBorder="1" applyAlignment="1">
      <alignment horizontal="center"/>
    </xf>
    <xf numFmtId="0" fontId="5" fillId="0" borderId="19" xfId="2" applyFont="1" applyBorder="1" applyAlignment="1">
      <alignment horizontal="center" vertical="center"/>
    </xf>
    <xf numFmtId="1" fontId="5" fillId="0" borderId="19" xfId="2" applyNumberFormat="1" applyFont="1" applyBorder="1" applyAlignment="1">
      <alignment horizontal="center" vertical="center"/>
    </xf>
    <xf numFmtId="0" fontId="5" fillId="0" borderId="20" xfId="2" applyFont="1" applyBorder="1" applyAlignment="1">
      <alignment horizontal="center" vertical="center"/>
    </xf>
    <xf numFmtId="2" fontId="9" fillId="0" borderId="19" xfId="2" applyNumberFormat="1" applyFont="1" applyBorder="1" applyAlignment="1">
      <alignment horizontal="center" vertical="center"/>
    </xf>
    <xf numFmtId="16" fontId="11" fillId="0" borderId="0" xfId="3" applyNumberFormat="1" applyFont="1"/>
    <xf numFmtId="0" fontId="12" fillId="0" borderId="0" xfId="0" applyFont="1"/>
    <xf numFmtId="0" fontId="14" fillId="0" borderId="21" xfId="0" applyFont="1" applyBorder="1" applyAlignment="1">
      <alignment horizontal="left" vertical="center"/>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0" fillId="0" borderId="15" xfId="0" applyBorder="1"/>
    <xf numFmtId="0" fontId="0" fillId="0" borderId="6" xfId="0" applyBorder="1"/>
    <xf numFmtId="2" fontId="14" fillId="0" borderId="8" xfId="0" applyNumberFormat="1" applyFont="1" applyBorder="1" applyAlignment="1">
      <alignment horizontal="center" vertical="center"/>
    </xf>
    <xf numFmtId="0" fontId="2" fillId="0" borderId="24" xfId="0" applyFont="1" applyBorder="1"/>
    <xf numFmtId="1" fontId="2" fillId="0" borderId="10" xfId="0" applyNumberFormat="1" applyFont="1" applyBorder="1"/>
    <xf numFmtId="9" fontId="2" fillId="0" borderId="10" xfId="0" applyNumberFormat="1" applyFont="1" applyBorder="1"/>
    <xf numFmtId="2" fontId="14" fillId="0" borderId="11" xfId="0" applyNumberFormat="1" applyFont="1" applyBorder="1" applyAlignment="1">
      <alignment horizontal="center" vertical="center"/>
    </xf>
    <xf numFmtId="0" fontId="0" fillId="0" borderId="25" xfId="0" applyBorder="1"/>
    <xf numFmtId="9" fontId="0" fillId="0" borderId="6" xfId="1" applyFont="1" applyBorder="1"/>
    <xf numFmtId="0" fontId="14" fillId="0" borderId="30" xfId="0" applyFont="1" applyBorder="1" applyAlignment="1">
      <alignment horizontal="left"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165" fontId="0" fillId="0" borderId="6" xfId="1" applyNumberFormat="1" applyFont="1" applyBorder="1"/>
    <xf numFmtId="0" fontId="14" fillId="0" borderId="3" xfId="0" applyFont="1" applyBorder="1" applyAlignment="1">
      <alignment horizontal="left" vertical="center"/>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2" fillId="0" borderId="10" xfId="0" applyFont="1" applyBorder="1"/>
    <xf numFmtId="9" fontId="2" fillId="0" borderId="10" xfId="1" applyFont="1" applyBorder="1"/>
    <xf numFmtId="0" fontId="0" fillId="0" borderId="28" xfId="0" applyBorder="1"/>
    <xf numFmtId="0" fontId="0" fillId="0" borderId="1" xfId="0" applyBorder="1"/>
    <xf numFmtId="0" fontId="16" fillId="0" borderId="0" xfId="0" applyFont="1"/>
    <xf numFmtId="0" fontId="15" fillId="0" borderId="0" xfId="0" applyFont="1" applyAlignment="1">
      <alignment horizontal="center" vertical="center"/>
    </xf>
    <xf numFmtId="1" fontId="2" fillId="0" borderId="0" xfId="0" applyNumberFormat="1" applyFont="1"/>
    <xf numFmtId="0" fontId="2" fillId="0" borderId="0" xfId="0" applyFont="1"/>
    <xf numFmtId="0" fontId="18" fillId="2" borderId="16" xfId="0" applyFont="1" applyFill="1" applyBorder="1" applyAlignment="1">
      <alignment horizontal="center" vertical="center" wrapText="1"/>
    </xf>
    <xf numFmtId="0" fontId="18" fillId="2" borderId="16" xfId="0" applyFont="1" applyFill="1" applyBorder="1" applyAlignment="1">
      <alignment horizontal="left" vertical="center" wrapText="1"/>
    </xf>
    <xf numFmtId="0" fontId="18" fillId="3" borderId="16" xfId="0" applyFont="1" applyFill="1" applyBorder="1" applyAlignment="1">
      <alignment horizontal="center" vertical="center" wrapText="1"/>
    </xf>
    <xf numFmtId="0" fontId="19" fillId="0" borderId="6" xfId="0" applyFont="1" applyBorder="1" applyAlignment="1">
      <alignment horizontal="center" vertical="center" wrapText="1"/>
    </xf>
    <xf numFmtId="0" fontId="19" fillId="0" borderId="6" xfId="0" applyFont="1" applyBorder="1" applyAlignment="1">
      <alignment horizontal="left" vertical="center" wrapText="1"/>
    </xf>
    <xf numFmtId="0" fontId="20" fillId="2" borderId="6" xfId="0" applyFont="1" applyFill="1" applyBorder="1" applyAlignment="1">
      <alignment horizontal="center" vertical="center" wrapText="1"/>
    </xf>
    <xf numFmtId="0" fontId="20" fillId="2" borderId="6" xfId="0" applyFont="1" applyFill="1" applyBorder="1" applyAlignment="1">
      <alignment horizontal="left" vertical="center" wrapText="1"/>
    </xf>
    <xf numFmtId="0" fontId="21" fillId="0" borderId="0" xfId="0" applyFont="1"/>
    <xf numFmtId="0" fontId="22" fillId="0" borderId="6" xfId="0" applyFont="1" applyBorder="1" applyAlignment="1">
      <alignment horizontal="center" vertical="center" wrapText="1"/>
    </xf>
    <xf numFmtId="0" fontId="22" fillId="0" borderId="6" xfId="0" applyFont="1" applyBorder="1" applyAlignment="1">
      <alignment horizontal="left" vertical="center" wrapText="1"/>
    </xf>
    <xf numFmtId="0" fontId="23" fillId="0" borderId="6" xfId="0" applyFont="1" applyBorder="1" applyAlignment="1">
      <alignment horizontal="center" vertical="center" wrapText="1"/>
    </xf>
    <xf numFmtId="0" fontId="24" fillId="0" borderId="6" xfId="0" applyFont="1" applyBorder="1" applyAlignment="1">
      <alignment horizontal="center" vertical="center"/>
    </xf>
    <xf numFmtId="0" fontId="25" fillId="0" borderId="8" xfId="0" applyFont="1" applyBorder="1" applyAlignment="1">
      <alignment vertical="top" wrapText="1"/>
    </xf>
    <xf numFmtId="0" fontId="25" fillId="0" borderId="8" xfId="0" applyFont="1" applyBorder="1" applyAlignment="1">
      <alignment horizontal="left" vertical="center" wrapText="1"/>
    </xf>
    <xf numFmtId="0" fontId="26" fillId="0" borderId="6" xfId="0" applyFont="1" applyBorder="1"/>
    <xf numFmtId="0" fontId="25" fillId="0" borderId="8" xfId="0" applyFont="1" applyBorder="1"/>
    <xf numFmtId="0" fontId="25" fillId="0" borderId="8" xfId="0" applyFont="1" applyBorder="1" applyAlignment="1">
      <alignment horizontal="left" vertical="top" wrapText="1"/>
    </xf>
    <xf numFmtId="0" fontId="25" fillId="0" borderId="8" xfId="0" applyFont="1" applyBorder="1" applyAlignment="1">
      <alignment vertical="center" wrapText="1"/>
    </xf>
    <xf numFmtId="0" fontId="25" fillId="0" borderId="8" xfId="0" applyFont="1" applyBorder="1" applyAlignment="1">
      <alignment horizontal="left" vertical="center"/>
    </xf>
    <xf numFmtId="17" fontId="3" fillId="0" borderId="15" xfId="3" applyNumberFormat="1" applyFont="1" applyBorder="1" applyAlignment="1">
      <alignment horizontal="left"/>
    </xf>
    <xf numFmtId="17" fontId="3" fillId="0" borderId="15" xfId="3" quotePrefix="1" applyNumberFormat="1" applyFont="1" applyBorder="1" applyAlignment="1">
      <alignment horizontal="left"/>
    </xf>
    <xf numFmtId="0" fontId="0" fillId="0" borderId="34" xfId="0" applyBorder="1"/>
    <xf numFmtId="0" fontId="0" fillId="0" borderId="35" xfId="0" applyBorder="1"/>
    <xf numFmtId="0" fontId="0" fillId="0" borderId="36" xfId="0" applyBorder="1"/>
    <xf numFmtId="0" fontId="8" fillId="0" borderId="33" xfId="2" applyFont="1" applyBorder="1" applyAlignment="1">
      <alignment horizontal="center" vertical="center" wrapText="1"/>
    </xf>
    <xf numFmtId="0" fontId="7" fillId="0" borderId="16" xfId="2" applyFont="1" applyBorder="1" applyAlignment="1">
      <alignment horizontal="center" vertical="center" wrapText="1"/>
    </xf>
    <xf numFmtId="0" fontId="7" fillId="0" borderId="17" xfId="2" applyFont="1" applyBorder="1" applyAlignment="1">
      <alignment horizontal="center" vertical="center" wrapText="1"/>
    </xf>
    <xf numFmtId="0" fontId="0" fillId="0" borderId="20" xfId="0" applyBorder="1"/>
    <xf numFmtId="0" fontId="0" fillId="0" borderId="37" xfId="0" applyBorder="1"/>
    <xf numFmtId="0" fontId="6" fillId="0" borderId="18" xfId="0" applyFont="1" applyBorder="1"/>
    <xf numFmtId="0" fontId="6" fillId="0" borderId="20" xfId="0" applyFont="1" applyBorder="1"/>
    <xf numFmtId="0" fontId="13" fillId="0" borderId="26" xfId="0" applyFont="1" applyBorder="1" applyAlignment="1"/>
    <xf numFmtId="0" fontId="17" fillId="0" borderId="6" xfId="0" applyFont="1" applyBorder="1" applyAlignment="1">
      <alignment horizontal="center" vertical="center"/>
    </xf>
    <xf numFmtId="0" fontId="0" fillId="0" borderId="6" xfId="0" applyBorder="1" applyAlignment="1">
      <alignment horizontal="center"/>
    </xf>
    <xf numFmtId="0" fontId="22" fillId="0" borderId="6" xfId="0" applyFont="1" applyBorder="1" applyAlignment="1">
      <alignment horizontal="right" vertical="center" wrapText="1"/>
    </xf>
    <xf numFmtId="0" fontId="23" fillId="0" borderId="6" xfId="0" applyFont="1" applyBorder="1" applyAlignment="1">
      <alignment horizontal="center" vertical="center" wrapText="1"/>
    </xf>
    <xf numFmtId="2" fontId="23" fillId="0" borderId="6" xfId="0" applyNumberFormat="1" applyFont="1" applyBorder="1" applyAlignment="1">
      <alignment horizontal="center" vertical="center" wrapText="1"/>
    </xf>
    <xf numFmtId="0" fontId="7" fillId="0" borderId="0" xfId="0" applyFont="1" applyBorder="1" applyAlignment="1">
      <alignment horizontal="center" vertical="center" wrapText="1"/>
    </xf>
    <xf numFmtId="0" fontId="13" fillId="0" borderId="27" xfId="0" applyFont="1" applyBorder="1" applyAlignment="1">
      <alignment horizontal="center"/>
    </xf>
    <xf numFmtId="0" fontId="13" fillId="0" borderId="26" xfId="0" applyFont="1" applyBorder="1" applyAlignment="1">
      <alignment horizontal="center"/>
    </xf>
    <xf numFmtId="0" fontId="13" fillId="0" borderId="29" xfId="0" applyFont="1" applyBorder="1" applyAlignment="1">
      <alignment horizontal="center"/>
    </xf>
    <xf numFmtId="0" fontId="13" fillId="0" borderId="18" xfId="0" applyFont="1" applyBorder="1" applyAlignment="1">
      <alignment horizontal="center"/>
    </xf>
    <xf numFmtId="0" fontId="13" fillId="0" borderId="20" xfId="0" applyFont="1" applyBorder="1" applyAlignment="1">
      <alignment horizontal="center"/>
    </xf>
  </cellXfs>
  <cellStyles count="8">
    <cellStyle name="Normal" xfId="0" builtinId="0"/>
    <cellStyle name="Normal 2" xfId="2"/>
    <cellStyle name="Normal 3" xfId="3"/>
    <cellStyle name="Normal 4" xfId="4"/>
    <cellStyle name="Normal 5" xfId="5"/>
    <cellStyle name="Normal 6" xfId="6"/>
    <cellStyle name="Normal 7" xfId="7"/>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-PROJECTWISE  </a:t>
            </a:r>
            <a:r>
              <a:rPr lang="en-US" sz="1800" b="1" i="0" u="none" strike="noStrike" baseline="0"/>
              <a:t>SUMMARY JAN'24 - DEC'24</a:t>
            </a:r>
            <a:endParaRPr lang="en-US"/>
          </a:p>
        </c:rich>
      </c:tx>
      <c:layout>
        <c:manualLayout>
          <c:xMode val="edge"/>
          <c:yMode val="edge"/>
          <c:x val="0.25629738529519253"/>
          <c:y val="1.9323671497584561E-2"/>
        </c:manualLayout>
      </c:layout>
    </c:title>
    <c:plotArea>
      <c:layout/>
      <c:pieChart>
        <c:varyColors val="1"/>
        <c:ser>
          <c:idx val="0"/>
          <c:order val="0"/>
          <c:dLbls>
            <c:dLbl>
              <c:idx val="0"/>
              <c:layout/>
              <c:tx>
                <c:rich>
                  <a:bodyPr/>
                  <a:lstStyle/>
                  <a:p>
                    <a:r>
                      <a:rPr lang="en-US"/>
                      <a:t>SD BANNER 631.45Hrs 32.8%</a:t>
                    </a:r>
                  </a:p>
                </c:rich>
              </c:tx>
              <c:showPercent val="1"/>
              <c:extLst xmlns:c16r2="http://schemas.microsoft.com/office/drawing/2015/06/chart">
                <c:ext xmlns:c15="http://schemas.microsoft.com/office/drawing/2012/chart" uri="{CE6537A1-D6FC-4f65-9D91-7224C49458BB}">
                  <c15:showDataLabelsRange val="0"/>
                </c:ext>
                <c:ext xmlns:c16="http://schemas.microsoft.com/office/drawing/2014/chart" uri="{C3380CC4-5D6E-409C-BE32-E72D297353CC}">
                  <c16:uniqueId val="{00000000-9553-4C48-B78D-2E6D0BF32AF6}"/>
                </c:ext>
              </c:extLst>
            </c:dLbl>
            <c:dLbl>
              <c:idx val="1"/>
              <c:layout/>
              <c:tx>
                <c:rich>
                  <a:bodyPr/>
                  <a:lstStyle/>
                  <a:p>
                    <a:r>
                      <a:rPr lang="en-US"/>
                      <a:t>PARK TITAN 1160.3Hrs 60.2%</a:t>
                    </a:r>
                  </a:p>
                </c:rich>
              </c:tx>
              <c:showPercent val="1"/>
              <c:extLst xmlns:c16r2="http://schemas.microsoft.com/office/drawing/2015/06/chart">
                <c:ext xmlns:c15="http://schemas.microsoft.com/office/drawing/2012/chart" uri="{CE6537A1-D6FC-4f65-9D91-7224C49458BB}">
                  <c15:showDataLabelsRange val="0"/>
                </c:ext>
                <c:ext xmlns:c16="http://schemas.microsoft.com/office/drawing/2014/chart" uri="{C3380CC4-5D6E-409C-BE32-E72D297353CC}">
                  <c16:uniqueId val="{00000001-9553-4C48-B78D-2E6D0BF32AF6}"/>
                </c:ext>
              </c:extLst>
            </c:dLbl>
            <c:dLbl>
              <c:idx val="2"/>
              <c:layout/>
              <c:tx>
                <c:rich>
                  <a:bodyPr/>
                  <a:lstStyle/>
                  <a:p>
                    <a:r>
                      <a:rPr lang="en-US"/>
                      <a:t>PENNINSULA</a:t>
                    </a:r>
                    <a:r>
                      <a:rPr lang="en-US" baseline="0"/>
                      <a:t> CLUB+ COMMERCIAL 134.2Hrs 7</a:t>
                    </a:r>
                    <a:r>
                      <a:rPr lang="en-US"/>
                      <a:t>%</a:t>
                    </a:r>
                  </a:p>
                </c:rich>
              </c:tx>
              <c:showPercent val="1"/>
              <c:extLst xmlns:c16r2="http://schemas.microsoft.com/office/drawing/2015/06/chart">
                <c:ext xmlns:c15="http://schemas.microsoft.com/office/drawing/2012/chart" uri="{CE6537A1-D6FC-4f65-9D91-7224C49458BB}">
                  <c15:showDataLabelsRange val="0"/>
                </c:ext>
                <c:ext xmlns:c16="http://schemas.microsoft.com/office/drawing/2014/chart" uri="{C3380CC4-5D6E-409C-BE32-E72D297353CC}">
                  <c16:uniqueId val="{00000002-9553-4C48-B78D-2E6D0BF32AF6}"/>
                </c:ext>
              </c:extLst>
            </c:dLbl>
            <c:dLbl>
              <c:idx val="3"/>
              <c:tx>
                <c:rich>
                  <a:bodyPr/>
                  <a:lstStyle/>
                  <a:p>
                    <a:r>
                      <a:rPr lang="en-US"/>
                      <a:t>ANSHUL KANVAS</a:t>
                    </a:r>
                  </a:p>
                  <a:p>
                    <a:r>
                      <a:rPr lang="en-US"/>
                      <a:t> 143 hr-7%</a:t>
                    </a:r>
                  </a:p>
                </c:rich>
              </c:tx>
              <c:showPercent val="1"/>
              <c:extLst xmlns:c16r2="http://schemas.microsoft.com/office/drawing/2015/06/chart">
                <c:ext xmlns:c15="http://schemas.microsoft.com/office/drawing/2012/chart" uri="{CE6537A1-D6FC-4f65-9D91-7224C49458BB}">
                  <c15:showDataLabelsRange val="0"/>
                </c:ext>
                <c:ext xmlns:c16="http://schemas.microsoft.com/office/drawing/2014/chart" uri="{C3380CC4-5D6E-409C-BE32-E72D297353CC}">
                  <c16:uniqueId val="{00000003-9553-4C48-B78D-2E6D0BF32AF6}"/>
                </c:ext>
              </c:extLst>
            </c:dLbl>
            <c:dLbl>
              <c:idx val="4"/>
              <c:tx>
                <c:rich>
                  <a:bodyPr/>
                  <a:lstStyle/>
                  <a:p>
                    <a:r>
                      <a:rPr lang="en-US"/>
                      <a:t>LUNARIS</a:t>
                    </a:r>
                  </a:p>
                  <a:p>
                    <a:r>
                      <a:rPr lang="en-US"/>
                      <a:t>110 hr-5%</a:t>
                    </a:r>
                  </a:p>
                </c:rich>
              </c:tx>
              <c:showPercent val="1"/>
              <c:extLst xmlns:c16r2="http://schemas.microsoft.com/office/drawing/2015/06/chart">
                <c:ext xmlns:c15="http://schemas.microsoft.com/office/drawing/2012/chart" uri="{CE6537A1-D6FC-4f65-9D91-7224C49458BB}">
                  <c15:showDataLabelsRange val="0"/>
                </c:ext>
                <c:ext xmlns:c16="http://schemas.microsoft.com/office/drawing/2014/chart" uri="{C3380CC4-5D6E-409C-BE32-E72D297353CC}">
                  <c16:uniqueId val="{00000004-9553-4C48-B78D-2E6D0BF32AF6}"/>
                </c:ext>
              </c:extLst>
            </c:dLbl>
            <c:spPr>
              <a:noFill/>
              <a:ln>
                <a:noFill/>
              </a:ln>
              <a:effectLst/>
            </c:spPr>
            <c:showPercent val="1"/>
            <c:showLeaderLines val="1"/>
            <c:extLst xmlns:c16r2="http://schemas.microsoft.com/office/drawing/2015/06/chart">
              <c:ext xmlns:c15="http://schemas.microsoft.com/office/drawing/2012/chart" uri="{CE6537A1-D6FC-4f65-9D91-7224C49458BB}"/>
            </c:extLst>
          </c:dLbls>
          <c:cat>
            <c:strRef>
              <c:f>'PIE-CHART'!$J$4:$J$6</c:f>
              <c:strCache>
                <c:ptCount val="3"/>
                <c:pt idx="0">
                  <c:v>2005 SD BANNER</c:v>
                </c:pt>
                <c:pt idx="1">
                  <c:v>2102 PARK TITAN</c:v>
                </c:pt>
                <c:pt idx="2">
                  <c:v>2358 PENNINCULA CLUB+COMMERCIAL</c:v>
                </c:pt>
              </c:strCache>
            </c:strRef>
          </c:cat>
          <c:val>
            <c:numRef>
              <c:f>'PIE-CHART'!$K$4:$K$6</c:f>
              <c:numCache>
                <c:formatCode>General</c:formatCode>
                <c:ptCount val="3"/>
                <c:pt idx="0">
                  <c:v>631.45000000000005</c:v>
                </c:pt>
                <c:pt idx="1">
                  <c:v>1160.3</c:v>
                </c:pt>
                <c:pt idx="2">
                  <c:v>134.19999999999999</c:v>
                </c:pt>
              </c:numCache>
            </c:numRef>
          </c:val>
          <c:extLst xmlns:c16r2="http://schemas.microsoft.com/office/drawing/2015/06/chart">
            <c:ext xmlns:c16="http://schemas.microsoft.com/office/drawing/2014/chart" uri="{C3380CC4-5D6E-409C-BE32-E72D297353CC}">
              <c16:uniqueId val="{00000005-9553-4C48-B78D-2E6D0BF32AF6}"/>
            </c:ext>
          </c:extLst>
        </c:ser>
        <c:dLbls>
          <c:showPercent val="1"/>
        </c:dLbls>
        <c:firstSliceAng val="0"/>
      </c:pieChart>
    </c:plotArea>
    <c:legend>
      <c:legendPos val="r"/>
      <c:layout/>
    </c:legend>
    <c:plotVisOnly val="1"/>
    <c:dispBlanksAs val="zero"/>
  </c:chart>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STAGEWISE  SUMMARY JAN'24 - DEC'24</a:t>
            </a:r>
          </a:p>
        </c:rich>
      </c:tx>
      <c:layout/>
    </c:title>
    <c:plotArea>
      <c:layout/>
      <c:pieChart>
        <c:varyColors val="1"/>
        <c:ser>
          <c:idx val="0"/>
          <c:order val="0"/>
          <c:dLbls>
            <c:dLbl>
              <c:idx val="0"/>
              <c:layout/>
              <c:tx>
                <c:rich>
                  <a:bodyPr/>
                  <a:lstStyle/>
                  <a:p>
                    <a:r>
                      <a:rPr lang="en-US"/>
                      <a:t>CD-739Hrs- </a:t>
                    </a:r>
                  </a:p>
                  <a:p>
                    <a:r>
                      <a:rPr lang="en-US"/>
                      <a:t>38%</a:t>
                    </a:r>
                  </a:p>
                </c:rich>
              </c:tx>
              <c:showPercent val="1"/>
              <c:extLst xmlns:c16r2="http://schemas.microsoft.com/office/drawing/2015/06/chart">
                <c:ext xmlns:c15="http://schemas.microsoft.com/office/drawing/2012/chart" uri="{CE6537A1-D6FC-4f65-9D91-7224C49458BB}">
                  <c15:showDataLabelsRange val="0"/>
                </c:ext>
                <c:ext xmlns:c16="http://schemas.microsoft.com/office/drawing/2014/chart" uri="{C3380CC4-5D6E-409C-BE32-E72D297353CC}">
                  <c16:uniqueId val="{00000000-96D0-418E-A8BE-60C2B6CFE97A}"/>
                </c:ext>
              </c:extLst>
            </c:dLbl>
            <c:dLbl>
              <c:idx val="1"/>
              <c:layout>
                <c:manualLayout>
                  <c:x val="9.1191771489565199E-2"/>
                  <c:y val="-8.7790086611256327E-2"/>
                </c:manualLayout>
              </c:layout>
              <c:tx>
                <c:rich>
                  <a:bodyPr/>
                  <a:lstStyle/>
                  <a:p>
                    <a:r>
                      <a:rPr lang="en-US"/>
                      <a:t>SD-41hrs-</a:t>
                    </a:r>
                  </a:p>
                  <a:p>
                    <a:r>
                      <a:rPr lang="en-US"/>
                      <a:t>2%</a:t>
                    </a:r>
                  </a:p>
                </c:rich>
              </c:tx>
              <c:showPercent val="1"/>
              <c:extLst xmlns:c16r2="http://schemas.microsoft.com/office/drawing/2015/06/chart">
                <c:ext xmlns:c15="http://schemas.microsoft.com/office/drawing/2012/chart" uri="{CE6537A1-D6FC-4f65-9D91-7224C49458BB}">
                  <c15:showDataLabelsRange val="0"/>
                </c:ext>
                <c:ext xmlns:c16="http://schemas.microsoft.com/office/drawing/2014/chart" uri="{C3380CC4-5D6E-409C-BE32-E72D297353CC}">
                  <c16:uniqueId val="{00000001-96D0-418E-A8BE-60C2B6CFE97A}"/>
                </c:ext>
              </c:extLst>
            </c:dLbl>
            <c:dLbl>
              <c:idx val="2"/>
              <c:layout/>
              <c:tx>
                <c:rich>
                  <a:bodyPr/>
                  <a:lstStyle/>
                  <a:p>
                    <a:r>
                      <a:rPr lang="en-US"/>
                      <a:t>CC-89Hrs-</a:t>
                    </a:r>
                  </a:p>
                  <a:p>
                    <a:r>
                      <a:rPr lang="en-US"/>
                      <a:t>5%</a:t>
                    </a:r>
                  </a:p>
                </c:rich>
              </c:tx>
              <c:showPercent val="1"/>
              <c:extLst xmlns:c16r2="http://schemas.microsoft.com/office/drawing/2015/06/chart">
                <c:ext xmlns:c15="http://schemas.microsoft.com/office/drawing/2012/chart" uri="{CE6537A1-D6FC-4f65-9D91-7224C49458BB}">
                  <c15:showDataLabelsRange val="0"/>
                </c:ext>
                <c:ext xmlns:c16="http://schemas.microsoft.com/office/drawing/2014/chart" uri="{C3380CC4-5D6E-409C-BE32-E72D297353CC}">
                  <c16:uniqueId val="{00000002-96D0-418E-A8BE-60C2B6CFE97A}"/>
                </c:ext>
              </c:extLst>
            </c:dLbl>
            <c:dLbl>
              <c:idx val="3"/>
              <c:layout/>
              <c:tx>
                <c:rich>
                  <a:bodyPr/>
                  <a:lstStyle/>
                  <a:p>
                    <a:r>
                      <a:rPr lang="en-US"/>
                      <a:t>LD-CD-139hrs-</a:t>
                    </a:r>
                  </a:p>
                  <a:p>
                    <a:r>
                      <a:rPr lang="en-US"/>
                      <a:t>6%</a:t>
                    </a:r>
                  </a:p>
                </c:rich>
              </c:tx>
              <c:showPercent val="1"/>
              <c:extLst xmlns:c16r2="http://schemas.microsoft.com/office/drawing/2015/06/chart">
                <c:ext xmlns:c15="http://schemas.microsoft.com/office/drawing/2012/chart" uri="{CE6537A1-D6FC-4f65-9D91-7224C49458BB}">
                  <c15:showDataLabelsRange val="0"/>
                </c:ext>
                <c:ext xmlns:c16="http://schemas.microsoft.com/office/drawing/2014/chart" uri="{C3380CC4-5D6E-409C-BE32-E72D297353CC}">
                  <c16:uniqueId val="{00000003-96D0-418E-A8BE-60C2B6CFE97A}"/>
                </c:ext>
              </c:extLst>
            </c:dLbl>
            <c:dLbl>
              <c:idx val="4"/>
              <c:layout/>
              <c:tx>
                <c:rich>
                  <a:bodyPr/>
                  <a:lstStyle/>
                  <a:p>
                    <a:r>
                      <a:rPr lang="en-US"/>
                      <a:t>WD-571.25Hrs-</a:t>
                    </a:r>
                  </a:p>
                  <a:p>
                    <a:r>
                      <a:rPr lang="en-US"/>
                      <a:t>30%</a:t>
                    </a:r>
                  </a:p>
                </c:rich>
              </c:tx>
              <c:showPercent val="1"/>
              <c:extLst xmlns:c16r2="http://schemas.microsoft.com/office/drawing/2015/06/chart">
                <c:ext xmlns:c15="http://schemas.microsoft.com/office/drawing/2012/chart" uri="{CE6537A1-D6FC-4f65-9D91-7224C49458BB}">
                  <c15:showDataLabelsRange val="0"/>
                </c:ext>
                <c:ext xmlns:c16="http://schemas.microsoft.com/office/drawing/2014/chart" uri="{C3380CC4-5D6E-409C-BE32-E72D297353CC}">
                  <c16:uniqueId val="{00000004-96D0-418E-A8BE-60C2B6CFE97A}"/>
                </c:ext>
              </c:extLst>
            </c:dLbl>
            <c:dLbl>
              <c:idx val="5"/>
              <c:layout>
                <c:manualLayout>
                  <c:x val="-6.445301691963945E-2"/>
                  <c:y val="-4.645910075567335E-3"/>
                </c:manualLayout>
              </c:layout>
              <c:tx>
                <c:rich>
                  <a:bodyPr/>
                  <a:lstStyle/>
                  <a:p>
                    <a:r>
                      <a:rPr lang="en-US"/>
                      <a:t>DD-260hrs-</a:t>
                    </a:r>
                  </a:p>
                  <a:p>
                    <a:r>
                      <a:rPr lang="en-US"/>
                      <a:t>13%</a:t>
                    </a:r>
                  </a:p>
                </c:rich>
              </c:tx>
              <c:showPercent val="1"/>
              <c:extLst xmlns:c16r2="http://schemas.microsoft.com/office/drawing/2015/06/chart">
                <c:ext xmlns:c15="http://schemas.microsoft.com/office/drawing/2012/chart" uri="{CE6537A1-D6FC-4f65-9D91-7224C49458BB}">
                  <c15:showDataLabelsRange val="0"/>
                </c:ext>
                <c:ext xmlns:c16="http://schemas.microsoft.com/office/drawing/2014/chart" uri="{C3380CC4-5D6E-409C-BE32-E72D297353CC}">
                  <c16:uniqueId val="{00000005-96D0-418E-A8BE-60C2B6CFE97A}"/>
                </c:ext>
              </c:extLst>
            </c:dLbl>
            <c:dLbl>
              <c:idx val="6"/>
              <c:layout>
                <c:manualLayout>
                  <c:x val="-1.5082907339795896E-2"/>
                  <c:y val="1.5279937881809931E-2"/>
                </c:manualLayout>
              </c:layout>
              <c:tx>
                <c:rich>
                  <a:bodyPr/>
                  <a:lstStyle/>
                  <a:p>
                    <a:r>
                      <a:rPr lang="en-US"/>
                      <a:t>A-</a:t>
                    </a:r>
                    <a:r>
                      <a:rPr lang="en-US" baseline="0"/>
                      <a:t> 97.25Hrs- 5%</a:t>
                    </a:r>
                  </a:p>
                  <a:p>
                    <a:r>
                      <a:rPr lang="en-US"/>
                      <a:t>%</a:t>
                    </a:r>
                  </a:p>
                </c:rich>
              </c:tx>
              <c:showPercent val="1"/>
            </c:dLbl>
            <c:dLbl>
              <c:idx val="7"/>
              <c:layout>
                <c:manualLayout>
                  <c:x val="5.1198079924052842E-2"/>
                  <c:y val="-9.5207417679090568E-3"/>
                </c:manualLayout>
              </c:layout>
              <c:tx>
                <c:rich>
                  <a:bodyPr/>
                  <a:lstStyle/>
                  <a:p>
                    <a:r>
                      <a:rPr lang="en-US"/>
                      <a:t>AWD-</a:t>
                    </a:r>
                    <a:r>
                      <a:rPr lang="en-US" baseline="0"/>
                      <a:t> 127HRS- 7</a:t>
                    </a:r>
                    <a:r>
                      <a:rPr lang="en-US"/>
                      <a:t>%</a:t>
                    </a:r>
                  </a:p>
                </c:rich>
              </c:tx>
              <c:showPercent val="1"/>
            </c:dLbl>
            <c:spPr>
              <a:noFill/>
              <a:ln>
                <a:noFill/>
              </a:ln>
              <a:effectLst/>
            </c:spPr>
            <c:showPercent val="1"/>
            <c:showLeaderLines val="1"/>
            <c:extLst xmlns:c16r2="http://schemas.microsoft.com/office/drawing/2015/06/chart">
              <c:ext xmlns:c15="http://schemas.microsoft.com/office/drawing/2012/chart" uri="{CE6537A1-D6FC-4f65-9D91-7224C49458BB}"/>
            </c:extLst>
          </c:dLbls>
          <c:cat>
            <c:strRef>
              <c:f>'PIE-CHART'!$A$4:$A$11</c:f>
              <c:strCache>
                <c:ptCount val="8"/>
                <c:pt idx="0">
                  <c:v>CD</c:v>
                </c:pt>
                <c:pt idx="1">
                  <c:v>SD</c:v>
                </c:pt>
                <c:pt idx="2">
                  <c:v>CC</c:v>
                </c:pt>
                <c:pt idx="3">
                  <c:v>SS</c:v>
                </c:pt>
                <c:pt idx="4">
                  <c:v>WD</c:v>
                </c:pt>
                <c:pt idx="5">
                  <c:v>DD</c:v>
                </c:pt>
                <c:pt idx="6">
                  <c:v>A</c:v>
                </c:pt>
                <c:pt idx="7">
                  <c:v>AWD</c:v>
                </c:pt>
              </c:strCache>
            </c:strRef>
          </c:cat>
          <c:val>
            <c:numRef>
              <c:f>'PIE-CHART'!$B$4:$B$11</c:f>
              <c:numCache>
                <c:formatCode>General</c:formatCode>
                <c:ptCount val="8"/>
                <c:pt idx="0">
                  <c:v>739.25</c:v>
                </c:pt>
                <c:pt idx="1">
                  <c:v>41.25</c:v>
                </c:pt>
                <c:pt idx="2">
                  <c:v>89.75</c:v>
                </c:pt>
                <c:pt idx="3">
                  <c:v>0.5</c:v>
                </c:pt>
                <c:pt idx="4">
                  <c:v>571.25</c:v>
                </c:pt>
                <c:pt idx="5">
                  <c:v>260</c:v>
                </c:pt>
                <c:pt idx="6">
                  <c:v>97.25</c:v>
                </c:pt>
                <c:pt idx="7">
                  <c:v>127.5</c:v>
                </c:pt>
              </c:numCache>
            </c:numRef>
          </c:val>
          <c:extLst xmlns:c16r2="http://schemas.microsoft.com/office/drawing/2015/06/chart">
            <c:ext xmlns:c16="http://schemas.microsoft.com/office/drawing/2014/chart" uri="{C3380CC4-5D6E-409C-BE32-E72D297353CC}">
              <c16:uniqueId val="{00000006-96D0-418E-A8BE-60C2B6CFE97A}"/>
            </c:ext>
          </c:extLst>
        </c:ser>
        <c:dLbls>
          <c:showPercent val="1"/>
        </c:dLbls>
        <c:firstSliceAng val="0"/>
      </c:pieChart>
    </c:plotArea>
    <c:legend>
      <c:legendPos val="r"/>
      <c:layout/>
    </c:legend>
    <c:plotVisOnly val="1"/>
    <c:dispBlanksAs val="zero"/>
  </c:chart>
  <c:printSettings>
    <c:headerFooter/>
    <c:pageMargins b="0.75000000000000044" l="0.7000000000000004" r="0.7000000000000004" t="0.75000000000000044" header="0.30000000000000021" footer="0.30000000000000021"/>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89647</xdr:colOff>
      <xdr:row>17</xdr:row>
      <xdr:rowOff>67235</xdr:rowOff>
    </xdr:from>
    <xdr:to>
      <xdr:col>14</xdr:col>
      <xdr:colOff>537882</xdr:colOff>
      <xdr:row>44</xdr:row>
      <xdr:rowOff>180974</xdr:rowOff>
    </xdr:to>
    <xdr:graphicFrame macro="">
      <xdr:nvGraphicFramePr>
        <xdr:cNvPr id="8" name="Chart 7">
          <a:extLst>
            <a:ext uri="{FF2B5EF4-FFF2-40B4-BE49-F238E27FC236}">
              <a16:creationId xmlns=""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179294</xdr:rowOff>
    </xdr:from>
    <xdr:to>
      <xdr:col>7</xdr:col>
      <xdr:colOff>414618</xdr:colOff>
      <xdr:row>44</xdr:row>
      <xdr:rowOff>171450</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A1:H34"/>
  <sheetViews>
    <sheetView view="pageBreakPreview" topLeftCell="A4" zoomScale="55" zoomScaleNormal="55" zoomScaleSheetLayoutView="55" workbookViewId="0">
      <selection activeCell="B27" sqref="B27"/>
    </sheetView>
  </sheetViews>
  <sheetFormatPr defaultRowHeight="15"/>
  <cols>
    <col min="2" max="2" width="110.85546875" customWidth="1"/>
    <col min="3" max="3" width="13.5703125" customWidth="1"/>
    <col min="4" max="4" width="16.85546875" customWidth="1"/>
    <col min="5" max="5" width="27.5703125" customWidth="1"/>
    <col min="6" max="6" width="13.7109375" customWidth="1"/>
    <col min="7" max="7" width="11.42578125" customWidth="1"/>
    <col min="8" max="8" width="60.7109375" customWidth="1"/>
    <col min="258" max="258" width="110.85546875" customWidth="1"/>
    <col min="259" max="259" width="13.5703125" customWidth="1"/>
    <col min="260" max="260" width="16.85546875" customWidth="1"/>
    <col min="261" max="261" width="27.5703125" customWidth="1"/>
    <col min="262" max="262" width="13.7109375" customWidth="1"/>
    <col min="263" max="263" width="11.42578125" customWidth="1"/>
    <col min="264" max="264" width="60.7109375" customWidth="1"/>
    <col min="514" max="514" width="110.85546875" customWidth="1"/>
    <col min="515" max="515" width="13.5703125" customWidth="1"/>
    <col min="516" max="516" width="16.85546875" customWidth="1"/>
    <col min="517" max="517" width="27.5703125" customWidth="1"/>
    <col min="518" max="518" width="13.7109375" customWidth="1"/>
    <col min="519" max="519" width="11.42578125" customWidth="1"/>
    <col min="520" max="520" width="60.7109375" customWidth="1"/>
    <col min="770" max="770" width="110.85546875" customWidth="1"/>
    <col min="771" max="771" width="13.5703125" customWidth="1"/>
    <col min="772" max="772" width="16.85546875" customWidth="1"/>
    <col min="773" max="773" width="27.5703125" customWidth="1"/>
    <col min="774" max="774" width="13.7109375" customWidth="1"/>
    <col min="775" max="775" width="11.42578125" customWidth="1"/>
    <col min="776" max="776" width="60.7109375" customWidth="1"/>
    <col min="1026" max="1026" width="110.85546875" customWidth="1"/>
    <col min="1027" max="1027" width="13.5703125" customWidth="1"/>
    <col min="1028" max="1028" width="16.85546875" customWidth="1"/>
    <col min="1029" max="1029" width="27.5703125" customWidth="1"/>
    <col min="1030" max="1030" width="13.7109375" customWidth="1"/>
    <col min="1031" max="1031" width="11.42578125" customWidth="1"/>
    <col min="1032" max="1032" width="60.7109375" customWidth="1"/>
    <col min="1282" max="1282" width="110.85546875" customWidth="1"/>
    <col min="1283" max="1283" width="13.5703125" customWidth="1"/>
    <col min="1284" max="1284" width="16.85546875" customWidth="1"/>
    <col min="1285" max="1285" width="27.5703125" customWidth="1"/>
    <col min="1286" max="1286" width="13.7109375" customWidth="1"/>
    <col min="1287" max="1287" width="11.42578125" customWidth="1"/>
    <col min="1288" max="1288" width="60.7109375" customWidth="1"/>
    <col min="1538" max="1538" width="110.85546875" customWidth="1"/>
    <col min="1539" max="1539" width="13.5703125" customWidth="1"/>
    <col min="1540" max="1540" width="16.85546875" customWidth="1"/>
    <col min="1541" max="1541" width="27.5703125" customWidth="1"/>
    <col min="1542" max="1542" width="13.7109375" customWidth="1"/>
    <col min="1543" max="1543" width="11.42578125" customWidth="1"/>
    <col min="1544" max="1544" width="60.7109375" customWidth="1"/>
    <col min="1794" max="1794" width="110.85546875" customWidth="1"/>
    <col min="1795" max="1795" width="13.5703125" customWidth="1"/>
    <col min="1796" max="1796" width="16.85546875" customWidth="1"/>
    <col min="1797" max="1797" width="27.5703125" customWidth="1"/>
    <col min="1798" max="1798" width="13.7109375" customWidth="1"/>
    <col min="1799" max="1799" width="11.42578125" customWidth="1"/>
    <col min="1800" max="1800" width="60.7109375" customWidth="1"/>
    <col min="2050" max="2050" width="110.85546875" customWidth="1"/>
    <col min="2051" max="2051" width="13.5703125" customWidth="1"/>
    <col min="2052" max="2052" width="16.85546875" customWidth="1"/>
    <col min="2053" max="2053" width="27.5703125" customWidth="1"/>
    <col min="2054" max="2054" width="13.7109375" customWidth="1"/>
    <col min="2055" max="2055" width="11.42578125" customWidth="1"/>
    <col min="2056" max="2056" width="60.7109375" customWidth="1"/>
    <col min="2306" max="2306" width="110.85546875" customWidth="1"/>
    <col min="2307" max="2307" width="13.5703125" customWidth="1"/>
    <col min="2308" max="2308" width="16.85546875" customWidth="1"/>
    <col min="2309" max="2309" width="27.5703125" customWidth="1"/>
    <col min="2310" max="2310" width="13.7109375" customWidth="1"/>
    <col min="2311" max="2311" width="11.42578125" customWidth="1"/>
    <col min="2312" max="2312" width="60.7109375" customWidth="1"/>
    <col min="2562" max="2562" width="110.85546875" customWidth="1"/>
    <col min="2563" max="2563" width="13.5703125" customWidth="1"/>
    <col min="2564" max="2564" width="16.85546875" customWidth="1"/>
    <col min="2565" max="2565" width="27.5703125" customWidth="1"/>
    <col min="2566" max="2566" width="13.7109375" customWidth="1"/>
    <col min="2567" max="2567" width="11.42578125" customWidth="1"/>
    <col min="2568" max="2568" width="60.7109375" customWidth="1"/>
    <col min="2818" max="2818" width="110.85546875" customWidth="1"/>
    <col min="2819" max="2819" width="13.5703125" customWidth="1"/>
    <col min="2820" max="2820" width="16.85546875" customWidth="1"/>
    <col min="2821" max="2821" width="27.5703125" customWidth="1"/>
    <col min="2822" max="2822" width="13.7109375" customWidth="1"/>
    <col min="2823" max="2823" width="11.42578125" customWidth="1"/>
    <col min="2824" max="2824" width="60.7109375" customWidth="1"/>
    <col min="3074" max="3074" width="110.85546875" customWidth="1"/>
    <col min="3075" max="3075" width="13.5703125" customWidth="1"/>
    <col min="3076" max="3076" width="16.85546875" customWidth="1"/>
    <col min="3077" max="3077" width="27.5703125" customWidth="1"/>
    <col min="3078" max="3078" width="13.7109375" customWidth="1"/>
    <col min="3079" max="3079" width="11.42578125" customWidth="1"/>
    <col min="3080" max="3080" width="60.7109375" customWidth="1"/>
    <col min="3330" max="3330" width="110.85546875" customWidth="1"/>
    <col min="3331" max="3331" width="13.5703125" customWidth="1"/>
    <col min="3332" max="3332" width="16.85546875" customWidth="1"/>
    <col min="3333" max="3333" width="27.5703125" customWidth="1"/>
    <col min="3334" max="3334" width="13.7109375" customWidth="1"/>
    <col min="3335" max="3335" width="11.42578125" customWidth="1"/>
    <col min="3336" max="3336" width="60.7109375" customWidth="1"/>
    <col min="3586" max="3586" width="110.85546875" customWidth="1"/>
    <col min="3587" max="3587" width="13.5703125" customWidth="1"/>
    <col min="3588" max="3588" width="16.85546875" customWidth="1"/>
    <col min="3589" max="3589" width="27.5703125" customWidth="1"/>
    <col min="3590" max="3590" width="13.7109375" customWidth="1"/>
    <col min="3591" max="3591" width="11.42578125" customWidth="1"/>
    <col min="3592" max="3592" width="60.7109375" customWidth="1"/>
    <col min="3842" max="3842" width="110.85546875" customWidth="1"/>
    <col min="3843" max="3843" width="13.5703125" customWidth="1"/>
    <col min="3844" max="3844" width="16.85546875" customWidth="1"/>
    <col min="3845" max="3845" width="27.5703125" customWidth="1"/>
    <col min="3846" max="3846" width="13.7109375" customWidth="1"/>
    <col min="3847" max="3847" width="11.42578125" customWidth="1"/>
    <col min="3848" max="3848" width="60.7109375" customWidth="1"/>
    <col min="4098" max="4098" width="110.85546875" customWidth="1"/>
    <col min="4099" max="4099" width="13.5703125" customWidth="1"/>
    <col min="4100" max="4100" width="16.85546875" customWidth="1"/>
    <col min="4101" max="4101" width="27.5703125" customWidth="1"/>
    <col min="4102" max="4102" width="13.7109375" customWidth="1"/>
    <col min="4103" max="4103" width="11.42578125" customWidth="1"/>
    <col min="4104" max="4104" width="60.7109375" customWidth="1"/>
    <col min="4354" max="4354" width="110.85546875" customWidth="1"/>
    <col min="4355" max="4355" width="13.5703125" customWidth="1"/>
    <col min="4356" max="4356" width="16.85546875" customWidth="1"/>
    <col min="4357" max="4357" width="27.5703125" customWidth="1"/>
    <col min="4358" max="4358" width="13.7109375" customWidth="1"/>
    <col min="4359" max="4359" width="11.42578125" customWidth="1"/>
    <col min="4360" max="4360" width="60.7109375" customWidth="1"/>
    <col min="4610" max="4610" width="110.85546875" customWidth="1"/>
    <col min="4611" max="4611" width="13.5703125" customWidth="1"/>
    <col min="4612" max="4612" width="16.85546875" customWidth="1"/>
    <col min="4613" max="4613" width="27.5703125" customWidth="1"/>
    <col min="4614" max="4614" width="13.7109375" customWidth="1"/>
    <col min="4615" max="4615" width="11.42578125" customWidth="1"/>
    <col min="4616" max="4616" width="60.7109375" customWidth="1"/>
    <col min="4866" max="4866" width="110.85546875" customWidth="1"/>
    <col min="4867" max="4867" width="13.5703125" customWidth="1"/>
    <col min="4868" max="4868" width="16.85546875" customWidth="1"/>
    <col min="4869" max="4869" width="27.5703125" customWidth="1"/>
    <col min="4870" max="4870" width="13.7109375" customWidth="1"/>
    <col min="4871" max="4871" width="11.42578125" customWidth="1"/>
    <col min="4872" max="4872" width="60.7109375" customWidth="1"/>
    <col min="5122" max="5122" width="110.85546875" customWidth="1"/>
    <col min="5123" max="5123" width="13.5703125" customWidth="1"/>
    <col min="5124" max="5124" width="16.85546875" customWidth="1"/>
    <col min="5125" max="5125" width="27.5703125" customWidth="1"/>
    <col min="5126" max="5126" width="13.7109375" customWidth="1"/>
    <col min="5127" max="5127" width="11.42578125" customWidth="1"/>
    <col min="5128" max="5128" width="60.7109375" customWidth="1"/>
    <col min="5378" max="5378" width="110.85546875" customWidth="1"/>
    <col min="5379" max="5379" width="13.5703125" customWidth="1"/>
    <col min="5380" max="5380" width="16.85546875" customWidth="1"/>
    <col min="5381" max="5381" width="27.5703125" customWidth="1"/>
    <col min="5382" max="5382" width="13.7109375" customWidth="1"/>
    <col min="5383" max="5383" width="11.42578125" customWidth="1"/>
    <col min="5384" max="5384" width="60.7109375" customWidth="1"/>
    <col min="5634" max="5634" width="110.85546875" customWidth="1"/>
    <col min="5635" max="5635" width="13.5703125" customWidth="1"/>
    <col min="5636" max="5636" width="16.85546875" customWidth="1"/>
    <col min="5637" max="5637" width="27.5703125" customWidth="1"/>
    <col min="5638" max="5638" width="13.7109375" customWidth="1"/>
    <col min="5639" max="5639" width="11.42578125" customWidth="1"/>
    <col min="5640" max="5640" width="60.7109375" customWidth="1"/>
    <col min="5890" max="5890" width="110.85546875" customWidth="1"/>
    <col min="5891" max="5891" width="13.5703125" customWidth="1"/>
    <col min="5892" max="5892" width="16.85546875" customWidth="1"/>
    <col min="5893" max="5893" width="27.5703125" customWidth="1"/>
    <col min="5894" max="5894" width="13.7109375" customWidth="1"/>
    <col min="5895" max="5895" width="11.42578125" customWidth="1"/>
    <col min="5896" max="5896" width="60.7109375" customWidth="1"/>
    <col min="6146" max="6146" width="110.85546875" customWidth="1"/>
    <col min="6147" max="6147" width="13.5703125" customWidth="1"/>
    <col min="6148" max="6148" width="16.85546875" customWidth="1"/>
    <col min="6149" max="6149" width="27.5703125" customWidth="1"/>
    <col min="6150" max="6150" width="13.7109375" customWidth="1"/>
    <col min="6151" max="6151" width="11.42578125" customWidth="1"/>
    <col min="6152" max="6152" width="60.7109375" customWidth="1"/>
    <col min="6402" max="6402" width="110.85546875" customWidth="1"/>
    <col min="6403" max="6403" width="13.5703125" customWidth="1"/>
    <col min="6404" max="6404" width="16.85546875" customWidth="1"/>
    <col min="6405" max="6405" width="27.5703125" customWidth="1"/>
    <col min="6406" max="6406" width="13.7109375" customWidth="1"/>
    <col min="6407" max="6407" width="11.42578125" customWidth="1"/>
    <col min="6408" max="6408" width="60.7109375" customWidth="1"/>
    <col min="6658" max="6658" width="110.85546875" customWidth="1"/>
    <col min="6659" max="6659" width="13.5703125" customWidth="1"/>
    <col min="6660" max="6660" width="16.85546875" customWidth="1"/>
    <col min="6661" max="6661" width="27.5703125" customWidth="1"/>
    <col min="6662" max="6662" width="13.7109375" customWidth="1"/>
    <col min="6663" max="6663" width="11.42578125" customWidth="1"/>
    <col min="6664" max="6664" width="60.7109375" customWidth="1"/>
    <col min="6914" max="6914" width="110.85546875" customWidth="1"/>
    <col min="6915" max="6915" width="13.5703125" customWidth="1"/>
    <col min="6916" max="6916" width="16.85546875" customWidth="1"/>
    <col min="6917" max="6917" width="27.5703125" customWidth="1"/>
    <col min="6918" max="6918" width="13.7109375" customWidth="1"/>
    <col min="6919" max="6919" width="11.42578125" customWidth="1"/>
    <col min="6920" max="6920" width="60.7109375" customWidth="1"/>
    <col min="7170" max="7170" width="110.85546875" customWidth="1"/>
    <col min="7171" max="7171" width="13.5703125" customWidth="1"/>
    <col min="7172" max="7172" width="16.85546875" customWidth="1"/>
    <col min="7173" max="7173" width="27.5703125" customWidth="1"/>
    <col min="7174" max="7174" width="13.7109375" customWidth="1"/>
    <col min="7175" max="7175" width="11.42578125" customWidth="1"/>
    <col min="7176" max="7176" width="60.7109375" customWidth="1"/>
    <col min="7426" max="7426" width="110.85546875" customWidth="1"/>
    <col min="7427" max="7427" width="13.5703125" customWidth="1"/>
    <col min="7428" max="7428" width="16.85546875" customWidth="1"/>
    <col min="7429" max="7429" width="27.5703125" customWidth="1"/>
    <col min="7430" max="7430" width="13.7109375" customWidth="1"/>
    <col min="7431" max="7431" width="11.42578125" customWidth="1"/>
    <col min="7432" max="7432" width="60.7109375" customWidth="1"/>
    <col min="7682" max="7682" width="110.85546875" customWidth="1"/>
    <col min="7683" max="7683" width="13.5703125" customWidth="1"/>
    <col min="7684" max="7684" width="16.85546875" customWidth="1"/>
    <col min="7685" max="7685" width="27.5703125" customWidth="1"/>
    <col min="7686" max="7686" width="13.7109375" customWidth="1"/>
    <col min="7687" max="7687" width="11.42578125" customWidth="1"/>
    <col min="7688" max="7688" width="60.7109375" customWidth="1"/>
    <col min="7938" max="7938" width="110.85546875" customWidth="1"/>
    <col min="7939" max="7939" width="13.5703125" customWidth="1"/>
    <col min="7940" max="7940" width="16.85546875" customWidth="1"/>
    <col min="7941" max="7941" width="27.5703125" customWidth="1"/>
    <col min="7942" max="7942" width="13.7109375" customWidth="1"/>
    <col min="7943" max="7943" width="11.42578125" customWidth="1"/>
    <col min="7944" max="7944" width="60.7109375" customWidth="1"/>
    <col min="8194" max="8194" width="110.85546875" customWidth="1"/>
    <col min="8195" max="8195" width="13.5703125" customWidth="1"/>
    <col min="8196" max="8196" width="16.85546875" customWidth="1"/>
    <col min="8197" max="8197" width="27.5703125" customWidth="1"/>
    <col min="8198" max="8198" width="13.7109375" customWidth="1"/>
    <col min="8199" max="8199" width="11.42578125" customWidth="1"/>
    <col min="8200" max="8200" width="60.7109375" customWidth="1"/>
    <col min="8450" max="8450" width="110.85546875" customWidth="1"/>
    <col min="8451" max="8451" width="13.5703125" customWidth="1"/>
    <col min="8452" max="8452" width="16.85546875" customWidth="1"/>
    <col min="8453" max="8453" width="27.5703125" customWidth="1"/>
    <col min="8454" max="8454" width="13.7109375" customWidth="1"/>
    <col min="8455" max="8455" width="11.42578125" customWidth="1"/>
    <col min="8456" max="8456" width="60.7109375" customWidth="1"/>
    <col min="8706" max="8706" width="110.85546875" customWidth="1"/>
    <col min="8707" max="8707" width="13.5703125" customWidth="1"/>
    <col min="8708" max="8708" width="16.85546875" customWidth="1"/>
    <col min="8709" max="8709" width="27.5703125" customWidth="1"/>
    <col min="8710" max="8710" width="13.7109375" customWidth="1"/>
    <col min="8711" max="8711" width="11.42578125" customWidth="1"/>
    <col min="8712" max="8712" width="60.7109375" customWidth="1"/>
    <col min="8962" max="8962" width="110.85546875" customWidth="1"/>
    <col min="8963" max="8963" width="13.5703125" customWidth="1"/>
    <col min="8964" max="8964" width="16.85546875" customWidth="1"/>
    <col min="8965" max="8965" width="27.5703125" customWidth="1"/>
    <col min="8966" max="8966" width="13.7109375" customWidth="1"/>
    <col min="8967" max="8967" width="11.42578125" customWidth="1"/>
    <col min="8968" max="8968" width="60.7109375" customWidth="1"/>
    <col min="9218" max="9218" width="110.85546875" customWidth="1"/>
    <col min="9219" max="9219" width="13.5703125" customWidth="1"/>
    <col min="9220" max="9220" width="16.85546875" customWidth="1"/>
    <col min="9221" max="9221" width="27.5703125" customWidth="1"/>
    <col min="9222" max="9222" width="13.7109375" customWidth="1"/>
    <col min="9223" max="9223" width="11.42578125" customWidth="1"/>
    <col min="9224" max="9224" width="60.7109375" customWidth="1"/>
    <col min="9474" max="9474" width="110.85546875" customWidth="1"/>
    <col min="9475" max="9475" width="13.5703125" customWidth="1"/>
    <col min="9476" max="9476" width="16.85546875" customWidth="1"/>
    <col min="9477" max="9477" width="27.5703125" customWidth="1"/>
    <col min="9478" max="9478" width="13.7109375" customWidth="1"/>
    <col min="9479" max="9479" width="11.42578125" customWidth="1"/>
    <col min="9480" max="9480" width="60.7109375" customWidth="1"/>
    <col min="9730" max="9730" width="110.85546875" customWidth="1"/>
    <col min="9731" max="9731" width="13.5703125" customWidth="1"/>
    <col min="9732" max="9732" width="16.85546875" customWidth="1"/>
    <col min="9733" max="9733" width="27.5703125" customWidth="1"/>
    <col min="9734" max="9734" width="13.7109375" customWidth="1"/>
    <col min="9735" max="9735" width="11.42578125" customWidth="1"/>
    <col min="9736" max="9736" width="60.7109375" customWidth="1"/>
    <col min="9986" max="9986" width="110.85546875" customWidth="1"/>
    <col min="9987" max="9987" width="13.5703125" customWidth="1"/>
    <col min="9988" max="9988" width="16.85546875" customWidth="1"/>
    <col min="9989" max="9989" width="27.5703125" customWidth="1"/>
    <col min="9990" max="9990" width="13.7109375" customWidth="1"/>
    <col min="9991" max="9991" width="11.42578125" customWidth="1"/>
    <col min="9992" max="9992" width="60.7109375" customWidth="1"/>
    <col min="10242" max="10242" width="110.85546875" customWidth="1"/>
    <col min="10243" max="10243" width="13.5703125" customWidth="1"/>
    <col min="10244" max="10244" width="16.85546875" customWidth="1"/>
    <col min="10245" max="10245" width="27.5703125" customWidth="1"/>
    <col min="10246" max="10246" width="13.7109375" customWidth="1"/>
    <col min="10247" max="10247" width="11.42578125" customWidth="1"/>
    <col min="10248" max="10248" width="60.7109375" customWidth="1"/>
    <col min="10498" max="10498" width="110.85546875" customWidth="1"/>
    <col min="10499" max="10499" width="13.5703125" customWidth="1"/>
    <col min="10500" max="10500" width="16.85546875" customWidth="1"/>
    <col min="10501" max="10501" width="27.5703125" customWidth="1"/>
    <col min="10502" max="10502" width="13.7109375" customWidth="1"/>
    <col min="10503" max="10503" width="11.42578125" customWidth="1"/>
    <col min="10504" max="10504" width="60.7109375" customWidth="1"/>
    <col min="10754" max="10754" width="110.85546875" customWidth="1"/>
    <col min="10755" max="10755" width="13.5703125" customWidth="1"/>
    <col min="10756" max="10756" width="16.85546875" customWidth="1"/>
    <col min="10757" max="10757" width="27.5703125" customWidth="1"/>
    <col min="10758" max="10758" width="13.7109375" customWidth="1"/>
    <col min="10759" max="10759" width="11.42578125" customWidth="1"/>
    <col min="10760" max="10760" width="60.7109375" customWidth="1"/>
    <col min="11010" max="11010" width="110.85546875" customWidth="1"/>
    <col min="11011" max="11011" width="13.5703125" customWidth="1"/>
    <col min="11012" max="11012" width="16.85546875" customWidth="1"/>
    <col min="11013" max="11013" width="27.5703125" customWidth="1"/>
    <col min="11014" max="11014" width="13.7109375" customWidth="1"/>
    <col min="11015" max="11015" width="11.42578125" customWidth="1"/>
    <col min="11016" max="11016" width="60.7109375" customWidth="1"/>
    <col min="11266" max="11266" width="110.85546875" customWidth="1"/>
    <col min="11267" max="11267" width="13.5703125" customWidth="1"/>
    <col min="11268" max="11268" width="16.85546875" customWidth="1"/>
    <col min="11269" max="11269" width="27.5703125" customWidth="1"/>
    <col min="11270" max="11270" width="13.7109375" customWidth="1"/>
    <col min="11271" max="11271" width="11.42578125" customWidth="1"/>
    <col min="11272" max="11272" width="60.7109375" customWidth="1"/>
    <col min="11522" max="11522" width="110.85546875" customWidth="1"/>
    <col min="11523" max="11523" width="13.5703125" customWidth="1"/>
    <col min="11524" max="11524" width="16.85546875" customWidth="1"/>
    <col min="11525" max="11525" width="27.5703125" customWidth="1"/>
    <col min="11526" max="11526" width="13.7109375" customWidth="1"/>
    <col min="11527" max="11527" width="11.42578125" customWidth="1"/>
    <col min="11528" max="11528" width="60.7109375" customWidth="1"/>
    <col min="11778" max="11778" width="110.85546875" customWidth="1"/>
    <col min="11779" max="11779" width="13.5703125" customWidth="1"/>
    <col min="11780" max="11780" width="16.85546875" customWidth="1"/>
    <col min="11781" max="11781" width="27.5703125" customWidth="1"/>
    <col min="11782" max="11782" width="13.7109375" customWidth="1"/>
    <col min="11783" max="11783" width="11.42578125" customWidth="1"/>
    <col min="11784" max="11784" width="60.7109375" customWidth="1"/>
    <col min="12034" max="12034" width="110.85546875" customWidth="1"/>
    <col min="12035" max="12035" width="13.5703125" customWidth="1"/>
    <col min="12036" max="12036" width="16.85546875" customWidth="1"/>
    <col min="12037" max="12037" width="27.5703125" customWidth="1"/>
    <col min="12038" max="12038" width="13.7109375" customWidth="1"/>
    <col min="12039" max="12039" width="11.42578125" customWidth="1"/>
    <col min="12040" max="12040" width="60.7109375" customWidth="1"/>
    <col min="12290" max="12290" width="110.85546875" customWidth="1"/>
    <col min="12291" max="12291" width="13.5703125" customWidth="1"/>
    <col min="12292" max="12292" width="16.85546875" customWidth="1"/>
    <col min="12293" max="12293" width="27.5703125" customWidth="1"/>
    <col min="12294" max="12294" width="13.7109375" customWidth="1"/>
    <col min="12295" max="12295" width="11.42578125" customWidth="1"/>
    <col min="12296" max="12296" width="60.7109375" customWidth="1"/>
    <col min="12546" max="12546" width="110.85546875" customWidth="1"/>
    <col min="12547" max="12547" width="13.5703125" customWidth="1"/>
    <col min="12548" max="12548" width="16.85546875" customWidth="1"/>
    <col min="12549" max="12549" width="27.5703125" customWidth="1"/>
    <col min="12550" max="12550" width="13.7109375" customWidth="1"/>
    <col min="12551" max="12551" width="11.42578125" customWidth="1"/>
    <col min="12552" max="12552" width="60.7109375" customWidth="1"/>
    <col min="12802" max="12802" width="110.85546875" customWidth="1"/>
    <col min="12803" max="12803" width="13.5703125" customWidth="1"/>
    <col min="12804" max="12804" width="16.85546875" customWidth="1"/>
    <col min="12805" max="12805" width="27.5703125" customWidth="1"/>
    <col min="12806" max="12806" width="13.7109375" customWidth="1"/>
    <col min="12807" max="12807" width="11.42578125" customWidth="1"/>
    <col min="12808" max="12808" width="60.7109375" customWidth="1"/>
    <col min="13058" max="13058" width="110.85546875" customWidth="1"/>
    <col min="13059" max="13059" width="13.5703125" customWidth="1"/>
    <col min="13060" max="13060" width="16.85546875" customWidth="1"/>
    <col min="13061" max="13061" width="27.5703125" customWidth="1"/>
    <col min="13062" max="13062" width="13.7109375" customWidth="1"/>
    <col min="13063" max="13063" width="11.42578125" customWidth="1"/>
    <col min="13064" max="13064" width="60.7109375" customWidth="1"/>
    <col min="13314" max="13314" width="110.85546875" customWidth="1"/>
    <col min="13315" max="13315" width="13.5703125" customWidth="1"/>
    <col min="13316" max="13316" width="16.85546875" customWidth="1"/>
    <col min="13317" max="13317" width="27.5703125" customWidth="1"/>
    <col min="13318" max="13318" width="13.7109375" customWidth="1"/>
    <col min="13319" max="13319" width="11.42578125" customWidth="1"/>
    <col min="13320" max="13320" width="60.7109375" customWidth="1"/>
    <col min="13570" max="13570" width="110.85546875" customWidth="1"/>
    <col min="13571" max="13571" width="13.5703125" customWidth="1"/>
    <col min="13572" max="13572" width="16.85546875" customWidth="1"/>
    <col min="13573" max="13573" width="27.5703125" customWidth="1"/>
    <col min="13574" max="13574" width="13.7109375" customWidth="1"/>
    <col min="13575" max="13575" width="11.42578125" customWidth="1"/>
    <col min="13576" max="13576" width="60.7109375" customWidth="1"/>
    <col min="13826" max="13826" width="110.85546875" customWidth="1"/>
    <col min="13827" max="13827" width="13.5703125" customWidth="1"/>
    <col min="13828" max="13828" width="16.85546875" customWidth="1"/>
    <col min="13829" max="13829" width="27.5703125" customWidth="1"/>
    <col min="13830" max="13830" width="13.7109375" customWidth="1"/>
    <col min="13831" max="13831" width="11.42578125" customWidth="1"/>
    <col min="13832" max="13832" width="60.7109375" customWidth="1"/>
    <col min="14082" max="14082" width="110.85546875" customWidth="1"/>
    <col min="14083" max="14083" width="13.5703125" customWidth="1"/>
    <col min="14084" max="14084" width="16.85546875" customWidth="1"/>
    <col min="14085" max="14085" width="27.5703125" customWidth="1"/>
    <col min="14086" max="14086" width="13.7109375" customWidth="1"/>
    <col min="14087" max="14087" width="11.42578125" customWidth="1"/>
    <col min="14088" max="14088" width="60.7109375" customWidth="1"/>
    <col min="14338" max="14338" width="110.85546875" customWidth="1"/>
    <col min="14339" max="14339" width="13.5703125" customWidth="1"/>
    <col min="14340" max="14340" width="16.85546875" customWidth="1"/>
    <col min="14341" max="14341" width="27.5703125" customWidth="1"/>
    <col min="14342" max="14342" width="13.7109375" customWidth="1"/>
    <col min="14343" max="14343" width="11.42578125" customWidth="1"/>
    <col min="14344" max="14344" width="60.7109375" customWidth="1"/>
    <col min="14594" max="14594" width="110.85546875" customWidth="1"/>
    <col min="14595" max="14595" width="13.5703125" customWidth="1"/>
    <col min="14596" max="14596" width="16.85546875" customWidth="1"/>
    <col min="14597" max="14597" width="27.5703125" customWidth="1"/>
    <col min="14598" max="14598" width="13.7109375" customWidth="1"/>
    <col min="14599" max="14599" width="11.42578125" customWidth="1"/>
    <col min="14600" max="14600" width="60.7109375" customWidth="1"/>
    <col min="14850" max="14850" width="110.85546875" customWidth="1"/>
    <col min="14851" max="14851" width="13.5703125" customWidth="1"/>
    <col min="14852" max="14852" width="16.85546875" customWidth="1"/>
    <col min="14853" max="14853" width="27.5703125" customWidth="1"/>
    <col min="14854" max="14854" width="13.7109375" customWidth="1"/>
    <col min="14855" max="14855" width="11.42578125" customWidth="1"/>
    <col min="14856" max="14856" width="60.7109375" customWidth="1"/>
    <col min="15106" max="15106" width="110.85546875" customWidth="1"/>
    <col min="15107" max="15107" width="13.5703125" customWidth="1"/>
    <col min="15108" max="15108" width="16.85546875" customWidth="1"/>
    <col min="15109" max="15109" width="27.5703125" customWidth="1"/>
    <col min="15110" max="15110" width="13.7109375" customWidth="1"/>
    <col min="15111" max="15111" width="11.42578125" customWidth="1"/>
    <col min="15112" max="15112" width="60.7109375" customWidth="1"/>
    <col min="15362" max="15362" width="110.85546875" customWidth="1"/>
    <col min="15363" max="15363" width="13.5703125" customWidth="1"/>
    <col min="15364" max="15364" width="16.85546875" customWidth="1"/>
    <col min="15365" max="15365" width="27.5703125" customWidth="1"/>
    <col min="15366" max="15366" width="13.7109375" customWidth="1"/>
    <col min="15367" max="15367" width="11.42578125" customWidth="1"/>
    <col min="15368" max="15368" width="60.7109375" customWidth="1"/>
    <col min="15618" max="15618" width="110.85546875" customWidth="1"/>
    <col min="15619" max="15619" width="13.5703125" customWidth="1"/>
    <col min="15620" max="15620" width="16.85546875" customWidth="1"/>
    <col min="15621" max="15621" width="27.5703125" customWidth="1"/>
    <col min="15622" max="15622" width="13.7109375" customWidth="1"/>
    <col min="15623" max="15623" width="11.42578125" customWidth="1"/>
    <col min="15624" max="15624" width="60.7109375" customWidth="1"/>
    <col min="15874" max="15874" width="110.85546875" customWidth="1"/>
    <col min="15875" max="15875" width="13.5703125" customWidth="1"/>
    <col min="15876" max="15876" width="16.85546875" customWidth="1"/>
    <col min="15877" max="15877" width="27.5703125" customWidth="1"/>
    <col min="15878" max="15878" width="13.7109375" customWidth="1"/>
    <col min="15879" max="15879" width="11.42578125" customWidth="1"/>
    <col min="15880" max="15880" width="60.7109375" customWidth="1"/>
    <col min="16130" max="16130" width="110.85546875" customWidth="1"/>
    <col min="16131" max="16131" width="13.5703125" customWidth="1"/>
    <col min="16132" max="16132" width="16.85546875" customWidth="1"/>
    <col min="16133" max="16133" width="27.5703125" customWidth="1"/>
    <col min="16134" max="16134" width="13.7109375" customWidth="1"/>
    <col min="16135" max="16135" width="11.42578125" customWidth="1"/>
    <col min="16136" max="16136" width="60.7109375" customWidth="1"/>
  </cols>
  <sheetData>
    <row r="1" spans="1:8" ht="35.1" customHeight="1">
      <c r="A1" s="96" t="s">
        <v>101</v>
      </c>
      <c r="B1" s="96"/>
      <c r="C1" s="96"/>
      <c r="D1" s="96"/>
      <c r="E1" s="96"/>
      <c r="F1" s="96"/>
      <c r="G1" s="96"/>
      <c r="H1" s="96"/>
    </row>
    <row r="2" spans="1:8" ht="48.75" customHeight="1">
      <c r="A2" s="64" t="s">
        <v>34</v>
      </c>
      <c r="B2" s="65" t="s">
        <v>35</v>
      </c>
      <c r="C2" s="64" t="s">
        <v>36</v>
      </c>
      <c r="D2" s="64" t="s">
        <v>37</v>
      </c>
      <c r="E2" s="64" t="s">
        <v>38</v>
      </c>
      <c r="F2" s="66" t="s">
        <v>39</v>
      </c>
      <c r="G2" s="66" t="s">
        <v>40</v>
      </c>
      <c r="H2" s="66" t="s">
        <v>41</v>
      </c>
    </row>
    <row r="3" spans="1:8" ht="24" customHeight="1">
      <c r="A3" s="67"/>
      <c r="B3" s="68"/>
      <c r="C3" s="67"/>
      <c r="D3" s="67"/>
      <c r="E3" s="67"/>
      <c r="F3" s="67"/>
      <c r="G3" s="67"/>
    </row>
    <row r="4" spans="1:8" s="71" customFormat="1" ht="30" customHeight="1">
      <c r="A4" s="69" t="s">
        <v>16</v>
      </c>
      <c r="B4" s="70" t="s">
        <v>42</v>
      </c>
      <c r="C4" s="70"/>
      <c r="D4" s="70"/>
      <c r="E4" s="70"/>
      <c r="F4" s="70"/>
      <c r="G4" s="70"/>
      <c r="H4" s="70"/>
    </row>
    <row r="5" spans="1:8" ht="37.5" customHeight="1">
      <c r="A5" s="72" t="s">
        <v>43</v>
      </c>
      <c r="B5" s="73" t="s">
        <v>44</v>
      </c>
      <c r="C5" s="74">
        <v>10</v>
      </c>
      <c r="D5" s="74"/>
      <c r="E5" s="74"/>
      <c r="F5" s="74"/>
      <c r="G5" s="74"/>
      <c r="H5" s="41"/>
    </row>
    <row r="6" spans="1:8" ht="37.5" customHeight="1">
      <c r="A6" s="72" t="s">
        <v>45</v>
      </c>
      <c r="B6" s="73" t="s">
        <v>46</v>
      </c>
      <c r="C6" s="74">
        <v>10</v>
      </c>
      <c r="D6" s="74"/>
      <c r="E6" s="75"/>
      <c r="F6" s="74"/>
      <c r="G6" s="74"/>
      <c r="H6" s="76"/>
    </row>
    <row r="7" spans="1:8" ht="37.5" customHeight="1">
      <c r="A7" s="72" t="s">
        <v>47</v>
      </c>
      <c r="B7" s="73" t="s">
        <v>48</v>
      </c>
      <c r="C7" s="74">
        <v>10</v>
      </c>
      <c r="D7" s="74"/>
      <c r="E7" s="75"/>
      <c r="F7" s="74"/>
      <c r="G7" s="74"/>
      <c r="H7" s="77"/>
    </row>
    <row r="8" spans="1:8" ht="37.5" customHeight="1">
      <c r="A8" s="72" t="s">
        <v>49</v>
      </c>
      <c r="B8" s="73" t="s">
        <v>50</v>
      </c>
      <c r="C8" s="74">
        <v>10</v>
      </c>
      <c r="D8" s="74"/>
      <c r="E8" s="75"/>
      <c r="F8" s="74"/>
      <c r="G8" s="74"/>
      <c r="H8" s="78"/>
    </row>
    <row r="9" spans="1:8" ht="45.75" customHeight="1">
      <c r="A9" s="72">
        <v>45</v>
      </c>
      <c r="B9" s="73" t="s">
        <v>51</v>
      </c>
      <c r="C9" s="74">
        <v>10</v>
      </c>
      <c r="D9" s="74"/>
      <c r="E9" s="75"/>
      <c r="F9" s="74"/>
      <c r="G9" s="74"/>
      <c r="H9" s="78"/>
    </row>
    <row r="10" spans="1:8" ht="81" customHeight="1">
      <c r="A10" s="72" t="s">
        <v>52</v>
      </c>
      <c r="B10" s="73" t="s">
        <v>53</v>
      </c>
      <c r="C10" s="74">
        <v>10</v>
      </c>
      <c r="D10" s="74"/>
      <c r="E10" s="75"/>
      <c r="F10" s="74"/>
      <c r="G10" s="74"/>
      <c r="H10" s="78"/>
    </row>
    <row r="11" spans="1:8" ht="54" customHeight="1">
      <c r="A11" s="72" t="s">
        <v>54</v>
      </c>
      <c r="B11" s="73" t="s">
        <v>55</v>
      </c>
      <c r="C11" s="74">
        <v>10</v>
      </c>
      <c r="D11" s="74"/>
      <c r="E11" s="75"/>
      <c r="F11" s="74"/>
      <c r="G11" s="74"/>
      <c r="H11" s="78"/>
    </row>
    <row r="12" spans="1:8" ht="59.25" customHeight="1">
      <c r="A12" s="72" t="s">
        <v>56</v>
      </c>
      <c r="B12" s="73" t="s">
        <v>57</v>
      </c>
      <c r="C12" s="74">
        <v>10</v>
      </c>
      <c r="D12" s="74"/>
      <c r="E12" s="75"/>
      <c r="F12" s="74"/>
      <c r="G12" s="74"/>
      <c r="H12" s="76"/>
    </row>
    <row r="13" spans="1:8" ht="60" customHeight="1">
      <c r="A13" s="72" t="s">
        <v>58</v>
      </c>
      <c r="B13" s="73" t="s">
        <v>59</v>
      </c>
      <c r="C13" s="74">
        <v>10</v>
      </c>
      <c r="D13" s="74"/>
      <c r="E13" s="75"/>
      <c r="F13" s="74"/>
      <c r="G13" s="74"/>
      <c r="H13" s="79"/>
    </row>
    <row r="14" spans="1:8" ht="73.5" customHeight="1">
      <c r="A14" s="72" t="s">
        <v>60</v>
      </c>
      <c r="B14" s="73" t="s">
        <v>61</v>
      </c>
      <c r="C14" s="74">
        <v>10</v>
      </c>
      <c r="D14" s="74"/>
      <c r="E14" s="75"/>
      <c r="F14" s="74"/>
      <c r="G14" s="74"/>
      <c r="H14" s="80"/>
    </row>
    <row r="15" spans="1:8" s="71" customFormat="1" ht="30" customHeight="1">
      <c r="A15" s="69" t="s">
        <v>17</v>
      </c>
      <c r="B15" s="70" t="s">
        <v>62</v>
      </c>
      <c r="C15" s="70"/>
      <c r="D15" s="70"/>
      <c r="E15" s="70"/>
      <c r="F15" s="70"/>
      <c r="G15" s="70"/>
      <c r="H15" s="70"/>
    </row>
    <row r="16" spans="1:8" ht="48.75" customHeight="1">
      <c r="A16" s="72" t="s">
        <v>63</v>
      </c>
      <c r="B16" s="73" t="s">
        <v>64</v>
      </c>
      <c r="C16" s="74">
        <v>10</v>
      </c>
      <c r="D16" s="74"/>
      <c r="E16" s="75"/>
      <c r="F16" s="75"/>
      <c r="G16" s="75"/>
      <c r="H16" s="41"/>
    </row>
    <row r="17" spans="1:8" ht="48.75" customHeight="1">
      <c r="A17" s="72" t="s">
        <v>65</v>
      </c>
      <c r="B17" s="73" t="s">
        <v>66</v>
      </c>
      <c r="C17" s="74">
        <v>10</v>
      </c>
      <c r="D17" s="74"/>
      <c r="E17" s="75"/>
      <c r="F17" s="75"/>
      <c r="G17" s="75"/>
      <c r="H17" s="41"/>
    </row>
    <row r="18" spans="1:8" ht="37.5" customHeight="1">
      <c r="A18" s="72" t="s">
        <v>67</v>
      </c>
      <c r="B18" s="73" t="s">
        <v>68</v>
      </c>
      <c r="C18" s="74">
        <v>10</v>
      </c>
      <c r="D18" s="74"/>
      <c r="E18" s="75"/>
      <c r="F18" s="75"/>
      <c r="G18" s="75"/>
      <c r="H18" s="41"/>
    </row>
    <row r="19" spans="1:8" ht="49.5" customHeight="1">
      <c r="A19" s="72" t="s">
        <v>69</v>
      </c>
      <c r="B19" s="73" t="s">
        <v>70</v>
      </c>
      <c r="C19" s="74">
        <v>10</v>
      </c>
      <c r="D19" s="74"/>
      <c r="E19" s="75"/>
      <c r="F19" s="75"/>
      <c r="G19" s="75"/>
      <c r="H19" s="41"/>
    </row>
    <row r="20" spans="1:8" ht="57.75" customHeight="1">
      <c r="A20" s="72" t="s">
        <v>71</v>
      </c>
      <c r="B20" s="73" t="s">
        <v>72</v>
      </c>
      <c r="C20" s="74">
        <v>10</v>
      </c>
      <c r="D20" s="74"/>
      <c r="E20" s="75"/>
      <c r="F20" s="75"/>
      <c r="G20" s="75"/>
      <c r="H20" s="41"/>
    </row>
    <row r="21" spans="1:8" s="71" customFormat="1" ht="30" customHeight="1">
      <c r="A21" s="69" t="s">
        <v>18</v>
      </c>
      <c r="B21" s="70" t="s">
        <v>73</v>
      </c>
      <c r="C21" s="70"/>
      <c r="D21" s="70"/>
      <c r="E21" s="70"/>
      <c r="F21" s="70"/>
      <c r="G21" s="70"/>
      <c r="H21" s="70"/>
    </row>
    <row r="22" spans="1:8" ht="74.25" customHeight="1">
      <c r="A22" s="72" t="s">
        <v>74</v>
      </c>
      <c r="B22" s="73" t="s">
        <v>75</v>
      </c>
      <c r="C22" s="74">
        <v>10</v>
      </c>
      <c r="D22" s="74"/>
      <c r="E22" s="75"/>
      <c r="F22" s="75"/>
      <c r="G22" s="75"/>
      <c r="H22" s="41"/>
    </row>
    <row r="23" spans="1:8" ht="48.75" customHeight="1">
      <c r="A23" s="72" t="s">
        <v>76</v>
      </c>
      <c r="B23" s="73" t="s">
        <v>77</v>
      </c>
      <c r="C23" s="74">
        <v>10</v>
      </c>
      <c r="D23" s="74"/>
      <c r="E23" s="75"/>
      <c r="F23" s="75"/>
      <c r="G23" s="75"/>
      <c r="H23" s="41"/>
    </row>
    <row r="24" spans="1:8" ht="37.5" customHeight="1">
      <c r="A24" s="72" t="s">
        <v>78</v>
      </c>
      <c r="B24" s="73" t="s">
        <v>79</v>
      </c>
      <c r="C24" s="74">
        <v>10</v>
      </c>
      <c r="D24" s="74"/>
      <c r="E24" s="75"/>
      <c r="F24" s="75"/>
      <c r="G24" s="75"/>
      <c r="H24" s="41"/>
    </row>
    <row r="25" spans="1:8" ht="57.75" customHeight="1">
      <c r="A25" s="72" t="s">
        <v>80</v>
      </c>
      <c r="B25" s="73" t="s">
        <v>81</v>
      </c>
      <c r="C25" s="74">
        <v>10</v>
      </c>
      <c r="D25" s="74"/>
      <c r="E25" s="75"/>
      <c r="F25" s="75"/>
      <c r="G25" s="75"/>
      <c r="H25" s="81"/>
    </row>
    <row r="26" spans="1:8" s="71" customFormat="1" ht="30" customHeight="1">
      <c r="A26" s="69" t="s">
        <v>82</v>
      </c>
      <c r="B26" s="70" t="s">
        <v>83</v>
      </c>
      <c r="C26" s="70"/>
      <c r="D26" s="70"/>
      <c r="E26" s="70"/>
      <c r="F26" s="70"/>
      <c r="G26" s="70"/>
      <c r="H26" s="70"/>
    </row>
    <row r="27" spans="1:8" ht="94.5" customHeight="1">
      <c r="A27" s="72" t="s">
        <v>84</v>
      </c>
      <c r="B27" s="73" t="s">
        <v>85</v>
      </c>
      <c r="C27" s="74">
        <v>10</v>
      </c>
      <c r="D27" s="74"/>
      <c r="E27" s="75"/>
      <c r="F27" s="75"/>
      <c r="G27" s="75"/>
      <c r="H27" s="81"/>
    </row>
    <row r="28" spans="1:8" ht="60.75" customHeight="1">
      <c r="A28" s="72" t="s">
        <v>86</v>
      </c>
      <c r="B28" s="73" t="s">
        <v>87</v>
      </c>
      <c r="C28" s="74">
        <v>10</v>
      </c>
      <c r="D28" s="74"/>
      <c r="E28" s="75"/>
      <c r="F28" s="75"/>
      <c r="G28" s="75"/>
      <c r="H28" s="82"/>
    </row>
    <row r="29" spans="1:8" s="71" customFormat="1" ht="30" customHeight="1">
      <c r="A29" s="69" t="s">
        <v>88</v>
      </c>
      <c r="B29" s="70" t="s">
        <v>89</v>
      </c>
      <c r="C29" s="70"/>
      <c r="D29" s="70"/>
      <c r="E29" s="70"/>
      <c r="F29" s="70"/>
      <c r="G29" s="70"/>
      <c r="H29" s="70"/>
    </row>
    <row r="30" spans="1:8" ht="69.75" customHeight="1">
      <c r="A30" s="72" t="s">
        <v>90</v>
      </c>
      <c r="B30" s="73" t="s">
        <v>91</v>
      </c>
      <c r="C30" s="74">
        <v>10</v>
      </c>
      <c r="D30" s="74"/>
      <c r="E30" s="75"/>
      <c r="F30" s="75"/>
      <c r="G30" s="75"/>
      <c r="H30" s="41"/>
    </row>
    <row r="31" spans="1:8" ht="27" customHeight="1">
      <c r="A31" s="97"/>
      <c r="B31" s="98" t="s">
        <v>32</v>
      </c>
      <c r="C31" s="99">
        <v>220</v>
      </c>
      <c r="D31" s="99">
        <f>SUM(D5:D30)</f>
        <v>0</v>
      </c>
      <c r="E31" s="99">
        <f>SUM(E5:E30)</f>
        <v>0</v>
      </c>
      <c r="F31" s="99">
        <f>SUM(F5:F30)</f>
        <v>0</v>
      </c>
      <c r="G31" s="99">
        <f>SUM(G5:G30)</f>
        <v>0</v>
      </c>
      <c r="H31" s="99"/>
    </row>
    <row r="32" spans="1:8" ht="21.75" customHeight="1">
      <c r="A32" s="97"/>
      <c r="B32" s="98"/>
      <c r="C32" s="99"/>
      <c r="D32" s="99"/>
      <c r="E32" s="99"/>
      <c r="F32" s="99"/>
      <c r="G32" s="99"/>
      <c r="H32" s="99"/>
    </row>
    <row r="33" spans="1:8" ht="27" customHeight="1">
      <c r="A33" s="97"/>
      <c r="B33" s="98"/>
      <c r="C33" s="99"/>
      <c r="D33" s="100"/>
      <c r="E33" s="100"/>
      <c r="F33" s="100"/>
      <c r="G33" s="100"/>
      <c r="H33" s="99"/>
    </row>
    <row r="34" spans="1:8" ht="21.75" customHeight="1">
      <c r="A34" s="97"/>
      <c r="B34" s="98"/>
      <c r="C34" s="99"/>
      <c r="D34" s="100"/>
      <c r="E34" s="100"/>
      <c r="F34" s="100"/>
      <c r="G34" s="100"/>
      <c r="H34" s="99"/>
    </row>
  </sheetData>
  <mergeCells count="17">
    <mergeCell ref="G33:G34"/>
    <mergeCell ref="H33:H34"/>
    <mergeCell ref="A33:A34"/>
    <mergeCell ref="B33:B34"/>
    <mergeCell ref="C33:C34"/>
    <mergeCell ref="D33:D34"/>
    <mergeCell ref="E33:E34"/>
    <mergeCell ref="F33:F34"/>
    <mergeCell ref="A1:H1"/>
    <mergeCell ref="A31:A32"/>
    <mergeCell ref="B31:B32"/>
    <mergeCell ref="C31:C32"/>
    <mergeCell ref="D31:D32"/>
    <mergeCell ref="E31:E32"/>
    <mergeCell ref="F31:F32"/>
    <mergeCell ref="G31:G32"/>
    <mergeCell ref="H31:H32"/>
  </mergeCells>
  <pageMargins left="0.42" right="0.32" top="0.33" bottom="0.32" header="0.3" footer="0.3"/>
  <pageSetup paperSize="8" scale="54" orientation="portrait" r:id="rId1"/>
</worksheet>
</file>

<file path=xl/worksheets/sheet2.xml><?xml version="1.0" encoding="utf-8"?>
<worksheet xmlns="http://schemas.openxmlformats.org/spreadsheetml/2006/main" xmlns:r="http://schemas.openxmlformats.org/officeDocument/2006/relationships">
  <dimension ref="A1:O31"/>
  <sheetViews>
    <sheetView zoomScale="85" zoomScaleNormal="85" workbookViewId="0">
      <selection activeCell="B7" sqref="B7"/>
    </sheetView>
  </sheetViews>
  <sheetFormatPr defaultRowHeight="15"/>
  <cols>
    <col min="1" max="1" width="6" customWidth="1"/>
    <col min="2" max="2" width="25.140625" customWidth="1"/>
    <col min="3" max="3" width="10.140625" customWidth="1"/>
    <col min="4" max="4" width="10.5703125" customWidth="1"/>
    <col min="5" max="5" width="13.140625" customWidth="1"/>
    <col min="6" max="7" width="12.7109375" customWidth="1"/>
    <col min="8" max="8" width="14.5703125" customWidth="1"/>
    <col min="9" max="9" width="13" customWidth="1"/>
    <col min="10" max="10" width="9.85546875" bestFit="1" customWidth="1"/>
    <col min="11" max="11" width="9.85546875" customWidth="1"/>
  </cols>
  <sheetData>
    <row r="1" spans="1:15" ht="15.75">
      <c r="A1" s="1"/>
      <c r="B1" s="1"/>
      <c r="C1" s="1"/>
      <c r="D1" s="1"/>
      <c r="E1" s="1"/>
      <c r="F1" s="1"/>
      <c r="G1" s="1"/>
      <c r="H1" s="1"/>
      <c r="I1" s="1"/>
      <c r="J1" s="1"/>
      <c r="L1" s="1"/>
      <c r="M1" s="1"/>
      <c r="N1" s="1"/>
      <c r="O1" s="1"/>
    </row>
    <row r="2" spans="1:15" ht="15.75">
      <c r="A2" s="1"/>
      <c r="B2" s="2" t="s">
        <v>0</v>
      </c>
      <c r="C2" s="2" t="s">
        <v>1</v>
      </c>
      <c r="D2" s="3"/>
      <c r="E2" s="1"/>
      <c r="F2" s="1"/>
      <c r="G2" s="1"/>
      <c r="H2" s="1"/>
      <c r="I2" s="1"/>
      <c r="J2" s="1"/>
      <c r="L2" s="1"/>
      <c r="M2" s="1"/>
      <c r="N2" s="1"/>
      <c r="O2" s="1"/>
    </row>
    <row r="3" spans="1:15" ht="15.75">
      <c r="A3" s="1"/>
      <c r="B3" s="2" t="s">
        <v>2</v>
      </c>
      <c r="C3" s="2" t="s">
        <v>3</v>
      </c>
      <c r="D3" s="3"/>
      <c r="E3" s="1"/>
      <c r="F3" s="1"/>
      <c r="G3" s="1"/>
      <c r="H3" s="1"/>
      <c r="I3" s="1"/>
      <c r="J3" s="1"/>
      <c r="L3" s="1"/>
      <c r="M3" s="1"/>
      <c r="N3" s="1"/>
      <c r="O3" s="1"/>
    </row>
    <row r="4" spans="1:15" ht="15.75">
      <c r="A4" s="1"/>
      <c r="B4" s="2" t="s">
        <v>4</v>
      </c>
      <c r="C4" s="2" t="s">
        <v>5</v>
      </c>
      <c r="D4" s="3"/>
      <c r="E4" s="1"/>
      <c r="F4" s="1"/>
      <c r="G4" s="1"/>
      <c r="H4" s="1"/>
      <c r="I4" s="1"/>
      <c r="J4" s="1"/>
      <c r="L4" s="1"/>
      <c r="M4" s="1"/>
      <c r="N4" s="1"/>
      <c r="O4" s="1"/>
    </row>
    <row r="5" spans="1:15" ht="15.75">
      <c r="A5" s="1"/>
      <c r="B5" s="1"/>
      <c r="C5" s="1"/>
      <c r="D5" s="1"/>
      <c r="E5" s="1"/>
      <c r="F5" s="1"/>
      <c r="G5" s="1"/>
      <c r="H5" s="1"/>
      <c r="I5" s="1"/>
      <c r="J5" s="1"/>
      <c r="L5" s="1"/>
      <c r="M5" s="1"/>
      <c r="N5" s="1"/>
      <c r="O5" s="1"/>
    </row>
    <row r="6" spans="1:15" ht="15.75" thickBot="1"/>
    <row r="7" spans="1:15" s="4" customFormat="1" ht="23.1" customHeight="1" thickBot="1">
      <c r="B7" s="93"/>
      <c r="C7" s="94"/>
      <c r="D7" s="94"/>
      <c r="E7" s="91"/>
      <c r="F7" s="91"/>
      <c r="G7" s="91"/>
      <c r="H7" s="91"/>
      <c r="I7" s="91"/>
      <c r="J7" s="92"/>
      <c r="K7"/>
    </row>
    <row r="8" spans="1:15" s="4" customFormat="1" ht="23.1" customHeight="1" thickBot="1">
      <c r="A8" s="101"/>
      <c r="B8" s="93" t="s">
        <v>6</v>
      </c>
      <c r="C8" s="94"/>
      <c r="D8" s="94" t="s">
        <v>95</v>
      </c>
      <c r="E8" s="91"/>
      <c r="F8" s="91"/>
      <c r="G8" s="91"/>
      <c r="H8" s="91"/>
      <c r="I8" s="91"/>
      <c r="J8" s="92"/>
      <c r="K8"/>
      <c r="L8" s="5"/>
      <c r="M8" s="5"/>
      <c r="N8" s="5"/>
      <c r="O8" s="5"/>
    </row>
    <row r="9" spans="1:15" s="4" customFormat="1" ht="23.1" customHeight="1" thickBot="1">
      <c r="A9" s="101"/>
      <c r="B9" s="85"/>
      <c r="C9" s="86"/>
      <c r="D9" s="86"/>
      <c r="E9" s="86"/>
      <c r="F9" s="86"/>
      <c r="G9" s="86"/>
      <c r="H9" s="86"/>
      <c r="I9" s="86"/>
      <c r="J9" s="87"/>
      <c r="K9"/>
      <c r="L9" s="5"/>
      <c r="M9" s="5"/>
      <c r="N9" s="5"/>
      <c r="O9" s="5"/>
    </row>
    <row r="10" spans="1:15" ht="63">
      <c r="A10" s="6"/>
      <c r="B10" s="88" t="s">
        <v>7</v>
      </c>
      <c r="C10" s="89" t="s">
        <v>8</v>
      </c>
      <c r="D10" s="89" t="s">
        <v>9</v>
      </c>
      <c r="E10" s="89" t="s">
        <v>8</v>
      </c>
      <c r="F10" s="89" t="s">
        <v>10</v>
      </c>
      <c r="G10" s="89" t="s">
        <v>11</v>
      </c>
      <c r="H10" s="89" t="s">
        <v>12</v>
      </c>
      <c r="I10" s="90" t="s">
        <v>13</v>
      </c>
      <c r="J10" s="90" t="s">
        <v>97</v>
      </c>
      <c r="L10" s="7" t="s">
        <v>14</v>
      </c>
      <c r="M10" s="8" t="s">
        <v>14</v>
      </c>
      <c r="N10" s="9" t="s">
        <v>14</v>
      </c>
      <c r="O10" s="10" t="s">
        <v>15</v>
      </c>
    </row>
    <row r="11" spans="1:15" ht="16.5" thickBot="1">
      <c r="A11" s="1"/>
      <c r="B11" s="11"/>
      <c r="C11" s="12"/>
      <c r="D11" s="12"/>
      <c r="E11" s="12" t="s">
        <v>16</v>
      </c>
      <c r="F11" s="12"/>
      <c r="G11" s="12"/>
      <c r="H11" s="12" t="s">
        <v>17</v>
      </c>
      <c r="I11" s="13" t="s">
        <v>18</v>
      </c>
      <c r="J11" s="13"/>
      <c r="L11" s="14" t="s">
        <v>16</v>
      </c>
      <c r="M11" s="15" t="s">
        <v>17</v>
      </c>
      <c r="N11" s="15" t="s">
        <v>18</v>
      </c>
      <c r="O11" s="16"/>
    </row>
    <row r="12" spans="1:15" ht="15.75">
      <c r="A12" s="1"/>
      <c r="B12" s="83">
        <v>45292</v>
      </c>
      <c r="C12" s="17">
        <v>1</v>
      </c>
      <c r="D12" s="18"/>
      <c r="E12" s="19"/>
      <c r="F12" s="18"/>
      <c r="G12" s="18"/>
      <c r="H12" s="18"/>
      <c r="I12" s="20"/>
      <c r="J12" s="20"/>
      <c r="L12" s="21"/>
      <c r="M12" s="21"/>
      <c r="N12" s="21"/>
      <c r="O12" s="22"/>
    </row>
    <row r="13" spans="1:15" ht="15.75">
      <c r="A13" s="1"/>
      <c r="B13" s="84">
        <v>45323</v>
      </c>
      <c r="C13" s="19">
        <v>1</v>
      </c>
      <c r="D13" s="19"/>
      <c r="E13" s="19"/>
      <c r="F13" s="23"/>
      <c r="G13" s="23"/>
      <c r="H13" s="23"/>
      <c r="I13" s="24"/>
      <c r="J13" s="24"/>
      <c r="L13" s="3"/>
      <c r="M13" s="3"/>
      <c r="N13" s="3"/>
      <c r="O13" s="25"/>
    </row>
    <row r="14" spans="1:15" ht="15.75">
      <c r="A14" s="1"/>
      <c r="B14" s="83">
        <v>45352</v>
      </c>
      <c r="C14" s="19"/>
      <c r="D14" s="19"/>
      <c r="E14" s="19"/>
      <c r="F14" s="23">
        <v>1</v>
      </c>
      <c r="G14" s="23"/>
      <c r="H14" s="23"/>
      <c r="I14" s="24"/>
      <c r="J14" s="24"/>
      <c r="L14" s="3"/>
      <c r="M14" s="26"/>
      <c r="N14" s="3"/>
      <c r="O14" s="25"/>
    </row>
    <row r="15" spans="1:15" ht="15.75">
      <c r="A15" s="1"/>
      <c r="B15" s="84">
        <v>45383</v>
      </c>
      <c r="C15" s="19"/>
      <c r="D15" s="19"/>
      <c r="E15" s="19"/>
      <c r="F15" s="23"/>
      <c r="G15" s="23"/>
      <c r="H15" s="23"/>
      <c r="I15" s="24"/>
      <c r="J15" s="24">
        <v>4.5</v>
      </c>
      <c r="L15" s="3"/>
      <c r="M15" s="26"/>
      <c r="N15" s="3"/>
      <c r="O15" s="25"/>
    </row>
    <row r="16" spans="1:15" ht="15.75">
      <c r="A16" s="1"/>
      <c r="B16" s="83">
        <v>45413</v>
      </c>
      <c r="C16" s="19"/>
      <c r="D16" s="19"/>
      <c r="E16" s="19"/>
      <c r="F16" s="23">
        <v>1</v>
      </c>
      <c r="G16" s="23"/>
      <c r="H16" s="23"/>
      <c r="I16" s="24"/>
      <c r="J16" s="24"/>
      <c r="L16" s="3"/>
      <c r="M16" s="26"/>
      <c r="N16" s="3"/>
      <c r="O16" s="25"/>
    </row>
    <row r="17" spans="1:15" ht="15.75">
      <c r="A17" s="1"/>
      <c r="B17" s="84">
        <v>45444</v>
      </c>
      <c r="C17" s="19"/>
      <c r="D17" s="19"/>
      <c r="E17" s="19"/>
      <c r="F17" s="23"/>
      <c r="G17" s="23">
        <v>2</v>
      </c>
      <c r="H17" s="23"/>
      <c r="I17" s="24"/>
      <c r="J17" s="24"/>
      <c r="L17" s="3"/>
      <c r="M17" s="26"/>
      <c r="N17" s="3"/>
      <c r="O17" s="25"/>
    </row>
    <row r="18" spans="1:15" ht="15.75">
      <c r="A18" s="1"/>
      <c r="B18" s="83">
        <v>45474</v>
      </c>
      <c r="C18" s="27">
        <v>1</v>
      </c>
      <c r="D18" s="19"/>
      <c r="E18" s="19"/>
      <c r="F18" s="23">
        <v>3.5</v>
      </c>
      <c r="G18" s="23">
        <v>4</v>
      </c>
      <c r="H18" s="23"/>
      <c r="I18" s="24">
        <v>3.75</v>
      </c>
      <c r="J18" s="24">
        <v>2.25</v>
      </c>
      <c r="L18" s="3"/>
      <c r="M18" s="26"/>
      <c r="N18" s="3"/>
      <c r="O18" s="25"/>
    </row>
    <row r="19" spans="1:15" ht="15.75">
      <c r="A19" s="1"/>
      <c r="B19" s="84">
        <v>45505</v>
      </c>
      <c r="C19" s="28"/>
      <c r="D19" s="19"/>
      <c r="E19" s="19"/>
      <c r="F19" s="23"/>
      <c r="G19" s="23">
        <v>4</v>
      </c>
      <c r="H19" s="23"/>
      <c r="I19" s="24">
        <v>2.25</v>
      </c>
      <c r="J19" s="24"/>
      <c r="L19" s="3"/>
      <c r="M19" s="26"/>
      <c r="N19" s="3"/>
      <c r="O19" s="25"/>
    </row>
    <row r="20" spans="1:15" ht="15.75">
      <c r="A20" s="1"/>
      <c r="B20" s="83">
        <v>45536</v>
      </c>
      <c r="C20" s="27"/>
      <c r="D20" s="19"/>
      <c r="E20" s="19"/>
      <c r="F20" s="23">
        <v>1</v>
      </c>
      <c r="G20" s="23"/>
      <c r="H20" s="23"/>
      <c r="I20" s="24"/>
      <c r="J20" s="24"/>
      <c r="L20" s="3"/>
      <c r="M20" s="26"/>
      <c r="N20" s="3"/>
      <c r="O20" s="25"/>
    </row>
    <row r="21" spans="1:15" ht="15.75">
      <c r="A21" s="1"/>
      <c r="B21" s="84">
        <v>45566</v>
      </c>
      <c r="C21" s="27"/>
      <c r="D21" s="19"/>
      <c r="E21" s="19"/>
      <c r="F21" s="23"/>
      <c r="G21" s="23">
        <v>1</v>
      </c>
      <c r="H21" s="23"/>
      <c r="I21" s="24"/>
      <c r="J21" s="24"/>
      <c r="L21" s="3"/>
      <c r="M21" s="26"/>
      <c r="N21" s="3"/>
      <c r="O21" s="25"/>
    </row>
    <row r="22" spans="1:15" ht="15.75">
      <c r="A22" s="1"/>
      <c r="B22" s="83">
        <v>45597</v>
      </c>
      <c r="C22" s="27"/>
      <c r="D22" s="19"/>
      <c r="E22" s="19"/>
      <c r="F22" s="23">
        <v>1</v>
      </c>
      <c r="G22" s="23"/>
      <c r="H22" s="23"/>
      <c r="I22" s="24"/>
      <c r="J22" s="24"/>
      <c r="L22" s="3"/>
      <c r="M22" s="26"/>
      <c r="N22" s="3"/>
      <c r="O22" s="25"/>
    </row>
    <row r="23" spans="1:15" ht="16.5" thickBot="1">
      <c r="A23" s="1"/>
      <c r="B23" s="84">
        <v>45627</v>
      </c>
      <c r="C23" s="27"/>
      <c r="D23" s="19"/>
      <c r="E23" s="19"/>
      <c r="F23" s="23">
        <v>3</v>
      </c>
      <c r="G23" s="23">
        <v>1</v>
      </c>
      <c r="H23" s="23"/>
      <c r="I23" s="24"/>
      <c r="J23" s="24"/>
      <c r="L23" s="3"/>
      <c r="M23" s="26"/>
      <c r="N23" s="3"/>
      <c r="O23" s="25"/>
    </row>
    <row r="24" spans="1:15" ht="16.5" thickBot="1">
      <c r="A24" s="1"/>
      <c r="B24" s="29"/>
      <c r="C24" s="30">
        <f>SUM(C12:C23)</f>
        <v>3</v>
      </c>
      <c r="D24" s="30">
        <f t="shared" ref="D24:J24" si="0">SUM(D12:D23)</f>
        <v>0</v>
      </c>
      <c r="E24" s="30">
        <f>C24+D24</f>
        <v>3</v>
      </c>
      <c r="F24" s="30">
        <f t="shared" si="0"/>
        <v>10.5</v>
      </c>
      <c r="G24" s="30">
        <f t="shared" si="0"/>
        <v>12</v>
      </c>
      <c r="H24" s="30">
        <f t="shared" si="0"/>
        <v>0</v>
      </c>
      <c r="I24" s="30">
        <f t="shared" si="0"/>
        <v>6</v>
      </c>
      <c r="J24" s="30">
        <f t="shared" si="0"/>
        <v>6.75</v>
      </c>
      <c r="L24" s="31">
        <f>10-(E24/6)</f>
        <v>9.5</v>
      </c>
      <c r="M24" s="32">
        <f>10-H24</f>
        <v>10</v>
      </c>
      <c r="N24" s="33">
        <f>10-(I24/3)</f>
        <v>8</v>
      </c>
      <c r="O24" s="34">
        <f>SUM(L24:N24)</f>
        <v>27.5</v>
      </c>
    </row>
    <row r="26" spans="1:15" ht="18.75">
      <c r="B26" s="35" t="s">
        <v>19</v>
      </c>
      <c r="C26" s="36" t="s">
        <v>98</v>
      </c>
      <c r="D26" s="36"/>
    </row>
    <row r="31" spans="1:15">
      <c r="F31" t="s">
        <v>96</v>
      </c>
    </row>
  </sheetData>
  <mergeCells count="1">
    <mergeCell ref="A8:A9"/>
  </mergeCells>
  <pageMargins left="0.7" right="0.7" top="0.75" bottom="0.75" header="0.3" footer="0.3"/>
  <pageSetup paperSize="9" orientation="landscape" horizontalDpi="300" verticalDpi="300" r:id="rId1"/>
</worksheet>
</file>

<file path=xl/worksheets/sheet3.xml><?xml version="1.0" encoding="utf-8"?>
<worksheet xmlns="http://schemas.openxmlformats.org/spreadsheetml/2006/main" xmlns:r="http://schemas.openxmlformats.org/officeDocument/2006/relationships">
  <dimension ref="A1:M15"/>
  <sheetViews>
    <sheetView tabSelected="1" zoomScale="85" zoomScaleNormal="85" workbookViewId="0">
      <selection activeCell="S9" sqref="S9"/>
    </sheetView>
  </sheetViews>
  <sheetFormatPr defaultRowHeight="15"/>
  <cols>
    <col min="1" max="1" width="26.5703125" bestFit="1" customWidth="1"/>
    <col min="2" max="8" width="9.140625" customWidth="1"/>
    <col min="10" max="10" width="35.7109375" bestFit="1" customWidth="1"/>
  </cols>
  <sheetData>
    <row r="1" spans="1:13" ht="19.5" thickBot="1">
      <c r="A1" s="105" t="s">
        <v>99</v>
      </c>
      <c r="B1" s="106"/>
      <c r="C1" s="106"/>
      <c r="D1" s="106"/>
      <c r="E1" s="95"/>
      <c r="F1" s="95"/>
      <c r="G1" s="95"/>
      <c r="H1" s="95"/>
      <c r="J1" s="102" t="s">
        <v>100</v>
      </c>
      <c r="K1" s="103"/>
      <c r="L1" s="103"/>
      <c r="M1" s="104"/>
    </row>
    <row r="2" spans="1:13">
      <c r="A2" s="53" t="s">
        <v>33</v>
      </c>
      <c r="B2" s="54" t="s">
        <v>28</v>
      </c>
      <c r="C2" s="54" t="s">
        <v>29</v>
      </c>
      <c r="D2" s="55" t="s">
        <v>30</v>
      </c>
      <c r="E2" s="60"/>
      <c r="F2" s="60"/>
      <c r="G2" s="60"/>
      <c r="H2" s="60"/>
      <c r="J2" s="49" t="s">
        <v>20</v>
      </c>
      <c r="K2" s="50" t="s">
        <v>28</v>
      </c>
      <c r="L2" s="50" t="s">
        <v>29</v>
      </c>
      <c r="M2" s="51" t="s">
        <v>30</v>
      </c>
    </row>
    <row r="3" spans="1:13">
      <c r="A3" s="58"/>
      <c r="D3" s="59"/>
      <c r="E3" s="60"/>
      <c r="F3" s="60"/>
      <c r="G3" s="60"/>
      <c r="H3" s="60"/>
      <c r="J3" s="37"/>
      <c r="K3" s="38"/>
      <c r="L3" s="38"/>
      <c r="M3" s="39"/>
    </row>
    <row r="4" spans="1:13">
      <c r="A4" s="40" t="s">
        <v>21</v>
      </c>
      <c r="B4" s="41">
        <f>485.5+178+75.75</f>
        <v>739.25</v>
      </c>
      <c r="C4" s="48">
        <f t="shared" ref="C4:C12" si="0">B4/$B$12</f>
        <v>0.38367717659270795</v>
      </c>
      <c r="D4" s="42">
        <f t="shared" ref="D4:D11" si="1">B4/8.5/24</f>
        <v>3.6237745098039214</v>
      </c>
      <c r="H4" s="61"/>
      <c r="J4" s="40" t="s">
        <v>92</v>
      </c>
      <c r="K4" s="41">
        <f>356.45+275</f>
        <v>631.45000000000005</v>
      </c>
      <c r="L4" s="52">
        <f>K4/$K$7</f>
        <v>0.32786417092863263</v>
      </c>
      <c r="M4" s="42">
        <f t="shared" ref="M4:M6" si="2">K4/8.5/24</f>
        <v>3.0953431372549023</v>
      </c>
    </row>
    <row r="5" spans="1:13">
      <c r="A5" s="40" t="s">
        <v>22</v>
      </c>
      <c r="B5" s="41">
        <v>41.25</v>
      </c>
      <c r="C5" s="48">
        <f t="shared" si="0"/>
        <v>2.1409108602569091E-2</v>
      </c>
      <c r="D5" s="42">
        <f t="shared" si="1"/>
        <v>0.20220588235294115</v>
      </c>
      <c r="J5" s="47" t="s">
        <v>93</v>
      </c>
      <c r="K5" s="41">
        <f>1086.3+74</f>
        <v>1160.3</v>
      </c>
      <c r="L5" s="52">
        <f>K5/$K$7</f>
        <v>0.60245593083932603</v>
      </c>
      <c r="M5" s="42">
        <f t="shared" si="2"/>
        <v>5.6877450980392155</v>
      </c>
    </row>
    <row r="6" spans="1:13">
      <c r="A6" s="40" t="s">
        <v>24</v>
      </c>
      <c r="B6" s="41">
        <v>89.75</v>
      </c>
      <c r="C6" s="48">
        <f t="shared" si="0"/>
        <v>4.658103023225639E-2</v>
      </c>
      <c r="D6" s="42">
        <f t="shared" si="1"/>
        <v>0.43995098039215685</v>
      </c>
      <c r="J6" s="40" t="s">
        <v>94</v>
      </c>
      <c r="K6" s="41">
        <f>58.45+75.75</f>
        <v>134.19999999999999</v>
      </c>
      <c r="L6" s="52">
        <f>K6/$K$7</f>
        <v>6.9679898232041321E-2</v>
      </c>
      <c r="M6" s="42">
        <f t="shared" si="2"/>
        <v>0.65784313725490196</v>
      </c>
    </row>
    <row r="7" spans="1:13" ht="15.75" thickBot="1">
      <c r="A7" s="40" t="s">
        <v>27</v>
      </c>
      <c r="B7" s="41">
        <v>0.5</v>
      </c>
      <c r="C7" s="48">
        <f t="shared" si="0"/>
        <v>2.5950434669780721E-4</v>
      </c>
      <c r="D7" s="42">
        <f t="shared" si="1"/>
        <v>2.4509803921568627E-3</v>
      </c>
      <c r="J7" s="43" t="s">
        <v>31</v>
      </c>
      <c r="K7" s="44">
        <f>SUM(K4:K6)</f>
        <v>1925.95</v>
      </c>
      <c r="L7" s="45">
        <f>SUM(L4:L6)</f>
        <v>1</v>
      </c>
      <c r="M7" s="46">
        <f>SUM(M4:M6)</f>
        <v>9.44093137254902</v>
      </c>
    </row>
    <row r="8" spans="1:13">
      <c r="A8" s="40" t="s">
        <v>26</v>
      </c>
      <c r="B8" s="41">
        <f>497.25+74</f>
        <v>571.25</v>
      </c>
      <c r="C8" s="48">
        <f t="shared" si="0"/>
        <v>0.29648371610224472</v>
      </c>
      <c r="D8" s="42">
        <f t="shared" si="1"/>
        <v>2.8002450980392157</v>
      </c>
    </row>
    <row r="9" spans="1:13">
      <c r="A9" s="40" t="s">
        <v>23</v>
      </c>
      <c r="B9" s="41">
        <f>163+97</f>
        <v>260</v>
      </c>
      <c r="C9" s="48">
        <f t="shared" si="0"/>
        <v>0.13494226028285974</v>
      </c>
      <c r="D9" s="42">
        <f t="shared" si="1"/>
        <v>1.2745098039215688</v>
      </c>
    </row>
    <row r="10" spans="1:13">
      <c r="A10" s="40" t="s">
        <v>16</v>
      </c>
      <c r="B10" s="41">
        <v>97.25</v>
      </c>
      <c r="C10" s="48">
        <f t="shared" si="0"/>
        <v>5.0473595432723499E-2</v>
      </c>
      <c r="D10" s="42">
        <f t="shared" si="1"/>
        <v>0.47671568627450983</v>
      </c>
    </row>
    <row r="11" spans="1:13">
      <c r="A11" s="40" t="s">
        <v>25</v>
      </c>
      <c r="B11" s="41">
        <v>127.5</v>
      </c>
      <c r="C11" s="48">
        <f t="shared" si="0"/>
        <v>6.6173608407940829E-2</v>
      </c>
      <c r="D11" s="42">
        <f t="shared" si="1"/>
        <v>0.625</v>
      </c>
    </row>
    <row r="12" spans="1:13" ht="15.75" thickBot="1">
      <c r="A12" s="43" t="s">
        <v>32</v>
      </c>
      <c r="B12" s="56">
        <f>SUM(B4:B11)</f>
        <v>1926.75</v>
      </c>
      <c r="C12" s="57">
        <f t="shared" si="0"/>
        <v>1</v>
      </c>
      <c r="D12" s="44">
        <f>SUM(D4:D11)</f>
        <v>9.444852941176471</v>
      </c>
    </row>
    <row r="13" spans="1:13">
      <c r="A13" s="63"/>
      <c r="B13" s="63"/>
      <c r="C13" s="63"/>
    </row>
    <row r="15" spans="1:13">
      <c r="E15" s="62"/>
      <c r="F15" s="62"/>
      <c r="G15" s="62"/>
      <c r="H15" s="62"/>
    </row>
  </sheetData>
  <mergeCells count="2">
    <mergeCell ref="J1:M1"/>
    <mergeCell ref="A1:D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Ankit review</vt:lpstr>
      <vt:lpstr>HR review</vt:lpstr>
      <vt:lpstr>PIE-CHART</vt:lpstr>
      <vt:lpstr>'Ankit review'!Print_Area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HRADMIN</dc:creator>
  <cp:lastModifiedBy>hradmin</cp:lastModifiedBy>
  <cp:lastPrinted>2025-02-10T06:45:28Z</cp:lastPrinted>
  <dcterms:created xsi:type="dcterms:W3CDTF">2024-07-27T11:08:47Z</dcterms:created>
  <dcterms:modified xsi:type="dcterms:W3CDTF">2025-11-20T13:42:28Z</dcterms:modified>
</cp:coreProperties>
</file>